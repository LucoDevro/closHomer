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e_rate_lachno_oscillo" sheetId="1" state="visible" r:id="rId2"/>
    <sheet name="tip_rate_clostr_lachno" sheetId="2" state="visible" r:id="rId3"/>
    <sheet name="ISEs_lachno_oscillo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<sst xmlns="http://schemas.openxmlformats.org/spreadsheetml/2006/main" count="115" uniqueCount="24">
  <si>
    <t xml:space="preserve">Lachno</t>
  </si>
  <si>
    <t xml:space="preserve">Oscillo</t>
  </si>
  <si>
    <t xml:space="preserve">variable</t>
  </si>
  <si>
    <t xml:space="preserve">sampling regime</t>
  </si>
  <si>
    <t xml:space="preserve">p value</t>
  </si>
  <si>
    <t xml:space="preserve">subsample 1</t>
  </si>
  <si>
    <t xml:space="preserve">heavy</t>
  </si>
  <si>
    <t xml:space="preserve">subsample 2</t>
  </si>
  <si>
    <t xml:space="preserve">subsample 3</t>
  </si>
  <si>
    <t xml:space="preserve">subsample 4</t>
  </si>
  <si>
    <t xml:space="preserve">subsample 5</t>
  </si>
  <si>
    <t xml:space="preserve">mean</t>
  </si>
  <si>
    <t xml:space="preserve">variance</t>
  </si>
  <si>
    <t xml:space="preserve">hedges g</t>
  </si>
  <si>
    <t xml:space="preserve">medium</t>
  </si>
  <si>
    <t xml:space="preserve">mild</t>
  </si>
  <si>
    <t xml:space="preserve">homogenised</t>
  </si>
  <si>
    <t xml:space="preserve">Clostr</t>
  </si>
  <si>
    <t xml:space="preserve">significance</t>
  </si>
  <si>
    <t xml:space="preserve">ns</t>
  </si>
  <si>
    <t xml:space="preserve">**</t>
  </si>
  <si>
    <t xml:space="preserve">*</t>
  </si>
  <si>
    <t xml:space="preserve">****</t>
  </si>
  <si>
    <t xml:space="preserve">***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</si>
</sst>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E+00"/>
    <numFmt numFmtId="166" formatCode="General"/>
    <numFmt numFmtId="167" formatCode="0"/>
    <numFmt numFmtId="168" formatCode="0.000"/>
    <numFmt numFmtId="169" formatCode="0.00"/>
    <numFmt numFmtId="170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11.60546875" defaultRowHeight="12.75" zeroHeight="false" outlineLevelRow="0" outlineLevelCol="0"/>
  <cols>
    <col collapsed="false" customWidth="true" hidden="false" outlineLevel="0" max="4" min="4" style="0" width="14.69"/>
    <col collapsed="false" customWidth="true" hidden="false" outlineLevel="0" max="5" min="5" style="1" width="8.86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3" t="s">
        <v>4</v>
      </c>
    </row>
    <row r="2" customFormat="false" ht="12.75" hidden="false" customHeight="false" outlineLevel="0" collapsed="false">
      <c r="A2" s="0" t="n">
        <v>5568</v>
      </c>
      <c r="B2" s="0" t="n">
        <v>3753</v>
      </c>
      <c r="C2" s="0" t="s">
        <v>5</v>
      </c>
      <c r="D2" s="4" t="s">
        <v>6</v>
      </c>
      <c r="E2" s="5" t="n">
        <v>0.105</v>
      </c>
    </row>
    <row r="3" customFormat="false" ht="12.75" hidden="false" customHeight="false" outlineLevel="0" collapsed="false">
      <c r="A3" s="0" t="n">
        <v>5185</v>
      </c>
      <c r="B3" s="0" t="n">
        <v>4166</v>
      </c>
      <c r="C3" s="0" t="s">
        <v>7</v>
      </c>
      <c r="D3" s="4"/>
      <c r="E3" s="1" t="n">
        <v>0.36</v>
      </c>
    </row>
    <row r="4" customFormat="false" ht="12.75" hidden="false" customHeight="false" outlineLevel="0" collapsed="false">
      <c r="A4" s="0" t="n">
        <v>5718</v>
      </c>
      <c r="B4" s="0" t="n">
        <v>4130</v>
      </c>
      <c r="C4" s="0" t="s">
        <v>8</v>
      </c>
      <c r="D4" s="4"/>
      <c r="E4" s="1" t="n">
        <v>0.817</v>
      </c>
    </row>
    <row r="5" customFormat="false" ht="12.75" hidden="false" customHeight="false" outlineLevel="0" collapsed="false">
      <c r="A5" s="0" t="n">
        <v>4394</v>
      </c>
      <c r="B5" s="0" t="n">
        <v>3463</v>
      </c>
      <c r="C5" s="0" t="s">
        <v>9</v>
      </c>
      <c r="D5" s="4"/>
      <c r="E5" s="1" t="n">
        <v>0.37</v>
      </c>
    </row>
    <row r="6" customFormat="false" ht="12.75" hidden="false" customHeight="false" outlineLevel="0" collapsed="false">
      <c r="A6" s="0" t="n">
        <v>4560</v>
      </c>
      <c r="B6" s="0" t="n">
        <v>3700</v>
      </c>
      <c r="C6" s="0" t="s">
        <v>10</v>
      </c>
      <c r="D6" s="4"/>
      <c r="E6" s="1" t="n">
        <v>0.0776</v>
      </c>
    </row>
    <row r="7" customFormat="false" ht="12.75" hidden="false" customHeight="false" outlineLevel="0" collapsed="false">
      <c r="A7" s="6" t="n">
        <f aca="false">AVERAGE(A2:A6)</f>
        <v>5085</v>
      </c>
      <c r="B7" s="7" t="n">
        <f aca="false">AVERAGE(B2:B6)</f>
        <v>3842.4</v>
      </c>
      <c r="C7" s="6" t="s">
        <v>11</v>
      </c>
      <c r="D7" s="4"/>
    </row>
    <row r="8" customFormat="false" ht="12.75" hidden="false" customHeight="false" outlineLevel="0" collapsed="false">
      <c r="A8" s="6" t="n">
        <f aca="false">VAR(A2:A6)</f>
        <v>349271</v>
      </c>
      <c r="B8" s="7" t="n">
        <f aca="false">VAR(B2:B6)</f>
        <v>89911.3</v>
      </c>
      <c r="C8" s="6" t="s">
        <v>12</v>
      </c>
      <c r="D8" s="4"/>
    </row>
    <row r="9" customFormat="false" ht="12.75" hidden="false" customHeight="false" outlineLevel="0" collapsed="false">
      <c r="A9" s="6"/>
      <c r="B9" s="8" t="n">
        <f aca="false">(A7-B7)/SQRT((A8+B8)/2)*(1-3/(4*(5+5)-9))</f>
        <v>2.39508135672314</v>
      </c>
      <c r="C9" s="9" t="s">
        <v>13</v>
      </c>
      <c r="D9" s="4"/>
    </row>
    <row r="11" customFormat="false" ht="12.75" hidden="false" customHeight="false" outlineLevel="0" collapsed="false">
      <c r="A11" s="0" t="n">
        <v>4868</v>
      </c>
      <c r="B11" s="0" t="n">
        <v>3801</v>
      </c>
      <c r="C11" s="0" t="s">
        <v>5</v>
      </c>
      <c r="D11" s="4" t="s">
        <v>14</v>
      </c>
      <c r="E11" s="5" t="n">
        <v>0.205</v>
      </c>
    </row>
    <row r="12" customFormat="false" ht="12.75" hidden="false" customHeight="false" outlineLevel="0" collapsed="false">
      <c r="A12" s="0" t="n">
        <v>4607</v>
      </c>
      <c r="B12" s="0" t="n">
        <v>3871</v>
      </c>
      <c r="C12" s="0" t="s">
        <v>7</v>
      </c>
      <c r="D12" s="4"/>
      <c r="E12" s="1" t="n">
        <v>0.378</v>
      </c>
    </row>
    <row r="13" customFormat="false" ht="12.75" hidden="false" customHeight="false" outlineLevel="0" collapsed="false">
      <c r="A13" s="0" t="n">
        <v>5464</v>
      </c>
      <c r="B13" s="0" t="n">
        <v>3965</v>
      </c>
      <c r="C13" s="0" t="s">
        <v>8</v>
      </c>
      <c r="D13" s="4"/>
      <c r="E13" s="1" t="n">
        <v>0.0598</v>
      </c>
    </row>
    <row r="14" customFormat="false" ht="12.75" hidden="false" customHeight="false" outlineLevel="0" collapsed="false">
      <c r="A14" s="0" t="n">
        <v>5703</v>
      </c>
      <c r="B14" s="0" t="n">
        <v>3894</v>
      </c>
      <c r="C14" s="0" t="s">
        <v>9</v>
      </c>
      <c r="D14" s="4"/>
      <c r="E14" s="1" t="n">
        <v>0.045</v>
      </c>
    </row>
    <row r="15" customFormat="false" ht="12.75" hidden="false" customHeight="false" outlineLevel="0" collapsed="false">
      <c r="A15" s="0" t="n">
        <v>5243</v>
      </c>
      <c r="B15" s="0" t="n">
        <v>3904</v>
      </c>
      <c r="C15" s="0" t="s">
        <v>10</v>
      </c>
      <c r="D15" s="4"/>
      <c r="E15" s="1" t="n">
        <v>0.1</v>
      </c>
    </row>
    <row r="16" customFormat="false" ht="12.75" hidden="false" customHeight="false" outlineLevel="0" collapsed="false">
      <c r="A16" s="6" t="n">
        <f aca="false">AVERAGE(A11:A15)</f>
        <v>5177</v>
      </c>
      <c r="B16" s="6" t="n">
        <f aca="false">AVERAGE(B11:B15)</f>
        <v>3887</v>
      </c>
      <c r="C16" s="6" t="s">
        <v>11</v>
      </c>
      <c r="D16" s="4"/>
    </row>
    <row r="17" customFormat="false" ht="12.75" hidden="false" customHeight="false" outlineLevel="0" collapsed="false">
      <c r="A17" s="6" t="n">
        <f aca="false">VAR(A11:A15)</f>
        <v>195945.5</v>
      </c>
      <c r="B17" s="7" t="n">
        <f aca="false">VAR(B11:B15)</f>
        <v>3518.5</v>
      </c>
      <c r="C17" s="6" t="s">
        <v>12</v>
      </c>
      <c r="D17" s="4"/>
    </row>
    <row r="18" customFormat="false" ht="12.75" hidden="false" customHeight="false" outlineLevel="0" collapsed="false">
      <c r="A18" s="6"/>
      <c r="B18" s="8" t="n">
        <f aca="false">(A16-B16)/SQRT((A17+B17)/2)*(1-3/(4*(5+5)-9))</f>
        <v>3.68951078021445</v>
      </c>
      <c r="C18" s="9" t="s">
        <v>13</v>
      </c>
      <c r="D18" s="4"/>
    </row>
    <row r="20" customFormat="false" ht="12.75" hidden="false" customHeight="false" outlineLevel="0" collapsed="false">
      <c r="A20" s="0" t="n">
        <v>5648</v>
      </c>
      <c r="B20" s="0" t="n">
        <v>3807</v>
      </c>
      <c r="C20" s="0" t="s">
        <v>5</v>
      </c>
      <c r="D20" s="4" t="s">
        <v>15</v>
      </c>
      <c r="E20" s="1" t="n">
        <v>0.0123</v>
      </c>
    </row>
    <row r="21" customFormat="false" ht="12.75" hidden="false" customHeight="false" outlineLevel="0" collapsed="false">
      <c r="A21" s="0" t="n">
        <v>4818</v>
      </c>
      <c r="B21" s="0" t="n">
        <v>3861</v>
      </c>
      <c r="C21" s="0" t="s">
        <v>7</v>
      </c>
      <c r="D21" s="4"/>
      <c r="E21" s="1" t="n">
        <v>0.208</v>
      </c>
    </row>
    <row r="22" customFormat="false" ht="12.75" hidden="false" customHeight="false" outlineLevel="0" collapsed="false">
      <c r="A22" s="0" t="n">
        <v>5919</v>
      </c>
      <c r="B22" s="0" t="n">
        <v>3957</v>
      </c>
      <c r="C22" s="0" t="s">
        <v>8</v>
      </c>
      <c r="D22" s="4"/>
      <c r="E22" s="1" t="n">
        <v>0.0113</v>
      </c>
    </row>
    <row r="23" customFormat="false" ht="12.75" hidden="false" customHeight="false" outlineLevel="0" collapsed="false">
      <c r="A23" s="0" t="n">
        <v>5604</v>
      </c>
      <c r="B23" s="0" t="n">
        <v>3883</v>
      </c>
      <c r="C23" s="0" t="s">
        <v>9</v>
      </c>
      <c r="D23" s="4"/>
      <c r="E23" s="1" t="n">
        <v>0.0289</v>
      </c>
    </row>
    <row r="24" customFormat="false" ht="12.75" hidden="false" customHeight="false" outlineLevel="0" collapsed="false">
      <c r="A24" s="0" t="n">
        <v>5310</v>
      </c>
      <c r="B24" s="0" t="n">
        <v>3883</v>
      </c>
      <c r="C24" s="0" t="s">
        <v>10</v>
      </c>
      <c r="D24" s="4"/>
      <c r="E24" s="1" t="n">
        <v>0.0651</v>
      </c>
    </row>
    <row r="25" customFormat="false" ht="12.75" hidden="false" customHeight="false" outlineLevel="0" collapsed="false">
      <c r="A25" s="6" t="n">
        <f aca="false">AVERAGE(A20:A24)</f>
        <v>5459.8</v>
      </c>
      <c r="B25" s="7" t="n">
        <f aca="false">AVERAGE(B20:B24)</f>
        <v>3878.2</v>
      </c>
      <c r="C25" s="6" t="s">
        <v>11</v>
      </c>
      <c r="D25" s="4"/>
    </row>
    <row r="26" customFormat="false" ht="12.75" hidden="false" customHeight="false" outlineLevel="0" collapsed="false">
      <c r="A26" s="6" t="n">
        <f aca="false">VAR(A20:A24)</f>
        <v>175356.2</v>
      </c>
      <c r="B26" s="7" t="n">
        <f aca="false">VAR(B20:B24)</f>
        <v>2905.2</v>
      </c>
      <c r="C26" s="6" t="s">
        <v>12</v>
      </c>
      <c r="D26" s="4"/>
    </row>
    <row r="27" customFormat="false" ht="12.75" hidden="false" customHeight="false" outlineLevel="0" collapsed="false">
      <c r="A27" s="6"/>
      <c r="B27" s="8" t="n">
        <f aca="false">(A25-B25)/SQRT((A26+B26)/2)*(1-3/(4*(5+5)-9))</f>
        <v>4.7849712769091</v>
      </c>
      <c r="C27" s="9" t="s">
        <v>13</v>
      </c>
      <c r="D27" s="4"/>
    </row>
    <row r="29" customFormat="false" ht="12.75" hidden="false" customHeight="false" outlineLevel="0" collapsed="false">
      <c r="A29" s="0" t="n">
        <v>5925</v>
      </c>
      <c r="B29" s="0" t="n">
        <v>3924</v>
      </c>
      <c r="D29" s="10" t="s">
        <v>16</v>
      </c>
      <c r="E29" s="1" t="n">
        <v>0.0063</v>
      </c>
    </row>
  </sheetData>
  <mergeCells count="3">
    <mergeCell ref="D2:D9"/>
    <mergeCell ref="D11:D18"/>
    <mergeCell ref="D20:D27"/>
  </mergeCells>
  <conditionalFormatting sqref="E2:E6 E11:E15 E20:E24 E29">
    <cfRule type="cellIs" priority="2" operator="lessThan" aboveAverage="0" equalAverage="0" bottom="0" percent="0" rank="0" text="" dxfId="0">
      <formula>0.05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11.60546875" defaultRowHeight="12.75" zeroHeight="false" outlineLevelRow="0" outlineLevelCol="0"/>
  <cols>
    <col collapsed="false" customWidth="true" hidden="false" outlineLevel="0" max="4" min="4" style="0" width="14.69"/>
    <col collapsed="false" customWidth="true" hidden="false" outlineLevel="0" max="5" min="5" style="1" width="8.86"/>
  </cols>
  <sheetData>
    <row r="1" customFormat="false" ht="12.75" hidden="false" customHeight="false" outlineLevel="0" collapsed="false">
      <c r="A1" s="0" t="s">
        <v>0</v>
      </c>
      <c r="B1" s="0" t="s">
        <v>17</v>
      </c>
      <c r="C1" s="0" t="s">
        <v>2</v>
      </c>
      <c r="D1" s="2" t="s">
        <v>3</v>
      </c>
      <c r="E1" s="3" t="s">
        <v>4</v>
      </c>
    </row>
    <row r="2" customFormat="false" ht="12.75" hidden="false" customHeight="false" outlineLevel="0" collapsed="false">
      <c r="A2" s="11" t="n">
        <v>832.3</v>
      </c>
      <c r="B2" s="11" t="n">
        <v>479.71</v>
      </c>
      <c r="C2" s="0" t="s">
        <v>5</v>
      </c>
      <c r="D2" s="4" t="s">
        <v>6</v>
      </c>
      <c r="E2" s="12" t="n">
        <v>0.00593</v>
      </c>
    </row>
    <row r="3" customFormat="false" ht="12.75" hidden="false" customHeight="false" outlineLevel="0" collapsed="false">
      <c r="A3" s="11" t="n">
        <v>834.99</v>
      </c>
      <c r="B3" s="11" t="n">
        <v>595.48</v>
      </c>
      <c r="C3" s="0" t="s">
        <v>7</v>
      </c>
      <c r="D3" s="4"/>
      <c r="E3" s="12" t="n">
        <v>0.0653</v>
      </c>
    </row>
    <row r="4" customFormat="false" ht="12.75" hidden="false" customHeight="false" outlineLevel="0" collapsed="false">
      <c r="A4" s="11" t="n">
        <v>698.68</v>
      </c>
      <c r="B4" s="11" t="n">
        <v>451.6</v>
      </c>
      <c r="C4" s="0" t="s">
        <v>8</v>
      </c>
      <c r="D4" s="4"/>
      <c r="E4" s="12" t="n">
        <v>0.0482</v>
      </c>
    </row>
    <row r="5" customFormat="false" ht="12.75" hidden="false" customHeight="false" outlineLevel="0" collapsed="false">
      <c r="A5" s="11" t="n">
        <v>957.87</v>
      </c>
      <c r="B5" s="11" t="n">
        <v>458.65</v>
      </c>
      <c r="C5" s="0" t="s">
        <v>9</v>
      </c>
      <c r="D5" s="4"/>
      <c r="E5" s="12" t="n">
        <v>0.000164</v>
      </c>
    </row>
    <row r="6" customFormat="false" ht="12.75" hidden="false" customHeight="false" outlineLevel="0" collapsed="false">
      <c r="A6" s="11" t="n">
        <v>809.47</v>
      </c>
      <c r="B6" s="11" t="n">
        <v>654.55</v>
      </c>
      <c r="C6" s="0" t="s">
        <v>10</v>
      </c>
      <c r="D6" s="4"/>
      <c r="E6" s="12" t="n">
        <v>0.257</v>
      </c>
    </row>
    <row r="7" customFormat="false" ht="12.75" hidden="false" customHeight="false" outlineLevel="0" collapsed="false">
      <c r="A7" s="7" t="n">
        <f aca="false">AVERAGE(A2:A6)</f>
        <v>826.662</v>
      </c>
      <c r="B7" s="7" t="n">
        <f aca="false">AVERAGE(B2:B6)</f>
        <v>527.998</v>
      </c>
      <c r="C7" s="6" t="s">
        <v>11</v>
      </c>
      <c r="D7" s="4"/>
    </row>
    <row r="8" customFormat="false" ht="12.75" hidden="false" customHeight="false" outlineLevel="0" collapsed="false">
      <c r="A8" s="7" t="n">
        <f aca="false">VAR(A2:A6)</f>
        <v>8497.90977</v>
      </c>
      <c r="B8" s="7" t="n">
        <f aca="false">VAR(B2:B6)</f>
        <v>8386.68987</v>
      </c>
      <c r="C8" s="6" t="s">
        <v>12</v>
      </c>
      <c r="D8" s="4"/>
    </row>
    <row r="9" customFormat="false" ht="12.75" hidden="false" customHeight="false" outlineLevel="0" collapsed="false">
      <c r="A9" s="7"/>
      <c r="B9" s="8" t="n">
        <f aca="false">(A7-B7)/SQRT((A8+B8)/2)*(1-3/(4*(5+5)-9))</f>
        <v>2.93595117512837</v>
      </c>
      <c r="C9" s="9" t="s">
        <v>13</v>
      </c>
      <c r="D9" s="4"/>
    </row>
    <row r="11" customFormat="false" ht="12.75" hidden="false" customHeight="false" outlineLevel="0" collapsed="false">
      <c r="A11" s="11" t="n">
        <v>684.83</v>
      </c>
      <c r="B11" s="11" t="n">
        <v>467.16</v>
      </c>
      <c r="C11" s="0" t="s">
        <v>5</v>
      </c>
      <c r="D11" s="4" t="s">
        <v>14</v>
      </c>
      <c r="E11" s="12" t="n">
        <v>0.00931</v>
      </c>
    </row>
    <row r="12" customFormat="false" ht="12.75" hidden="false" customHeight="false" outlineLevel="0" collapsed="false">
      <c r="A12" s="11" t="n">
        <v>665.87</v>
      </c>
      <c r="B12" s="11" t="n">
        <v>327.69</v>
      </c>
      <c r="C12" s="0" t="s">
        <v>7</v>
      </c>
      <c r="D12" s="4"/>
      <c r="E12" s="12" t="n">
        <v>3.99E-005</v>
      </c>
    </row>
    <row r="13" customFormat="false" ht="12.75" hidden="false" customHeight="false" outlineLevel="0" collapsed="false">
      <c r="A13" s="11" t="n">
        <v>739.84</v>
      </c>
      <c r="B13" s="11" t="n">
        <v>378.95</v>
      </c>
      <c r="C13" s="0" t="s">
        <v>8</v>
      </c>
      <c r="D13" s="4"/>
      <c r="E13" s="12" t="n">
        <v>1.3E-005</v>
      </c>
    </row>
    <row r="14" customFormat="false" ht="12.75" hidden="false" customHeight="false" outlineLevel="0" collapsed="false">
      <c r="A14" s="11" t="n">
        <v>768.56</v>
      </c>
      <c r="B14" s="11" t="n">
        <v>430</v>
      </c>
      <c r="C14" s="0" t="s">
        <v>9</v>
      </c>
      <c r="D14" s="4"/>
      <c r="E14" s="12" t="n">
        <v>0.000125</v>
      </c>
    </row>
    <row r="15" customFormat="false" ht="12.75" hidden="false" customHeight="false" outlineLevel="0" collapsed="false">
      <c r="A15" s="11" t="n">
        <v>840.29</v>
      </c>
      <c r="B15" s="11" t="n">
        <v>316.68</v>
      </c>
      <c r="C15" s="0" t="s">
        <v>10</v>
      </c>
      <c r="D15" s="4"/>
      <c r="E15" s="12" t="n">
        <v>1.17E-009</v>
      </c>
    </row>
    <row r="16" customFormat="false" ht="12.75" hidden="false" customHeight="false" outlineLevel="0" collapsed="false">
      <c r="A16" s="7" t="n">
        <f aca="false">AVERAGE(A11:A15)</f>
        <v>739.878</v>
      </c>
      <c r="B16" s="7" t="n">
        <f aca="false">AVERAGE(B11:B15)</f>
        <v>384.096</v>
      </c>
      <c r="C16" s="6" t="s">
        <v>11</v>
      </c>
      <c r="D16" s="4"/>
    </row>
    <row r="17" customFormat="false" ht="12.75" hidden="false" customHeight="false" outlineLevel="0" collapsed="false">
      <c r="A17" s="7" t="n">
        <f aca="false">VAR(A11:A15)</f>
        <v>4853.17367</v>
      </c>
      <c r="B17" s="7" t="n">
        <f aca="false">VAR(B11:B15)</f>
        <v>4189.96013</v>
      </c>
      <c r="C17" s="6" t="s">
        <v>12</v>
      </c>
      <c r="D17" s="4"/>
    </row>
    <row r="18" customFormat="false" ht="12.75" hidden="false" customHeight="false" outlineLevel="0" collapsed="false">
      <c r="A18" s="7"/>
      <c r="B18" s="8" t="n">
        <f aca="false">(A16-B16)/SQRT((A17+B17)/2)*(1-3/(4*(5+5)-9))</f>
        <v>4.77898678036706</v>
      </c>
      <c r="C18" s="9" t="s">
        <v>13</v>
      </c>
      <c r="D18" s="4"/>
    </row>
    <row r="20" customFormat="false" ht="12.75" hidden="false" customHeight="false" outlineLevel="0" collapsed="false">
      <c r="A20" s="11" t="n">
        <v>673.42</v>
      </c>
      <c r="B20" s="11" t="n">
        <v>327.03</v>
      </c>
      <c r="C20" s="0" t="s">
        <v>5</v>
      </c>
      <c r="D20" s="4" t="s">
        <v>15</v>
      </c>
      <c r="E20" s="12" t="n">
        <v>2.8E-007</v>
      </c>
    </row>
    <row r="21" customFormat="false" ht="12.75" hidden="false" customHeight="false" outlineLevel="0" collapsed="false">
      <c r="A21" s="11" t="n">
        <v>735.29</v>
      </c>
      <c r="B21" s="11" t="n">
        <v>330.63</v>
      </c>
      <c r="C21" s="0" t="s">
        <v>7</v>
      </c>
      <c r="D21" s="4"/>
      <c r="E21" s="12" t="n">
        <v>3.68E-009</v>
      </c>
    </row>
    <row r="22" customFormat="false" ht="12.75" hidden="false" customHeight="false" outlineLevel="0" collapsed="false">
      <c r="A22" s="11" t="n">
        <v>720.28</v>
      </c>
      <c r="B22" s="11" t="n">
        <v>366.95</v>
      </c>
      <c r="C22" s="0" t="s">
        <v>8</v>
      </c>
      <c r="D22" s="4"/>
      <c r="E22" s="12" t="n">
        <v>2.48E-007</v>
      </c>
    </row>
    <row r="23" customFormat="false" ht="12.75" hidden="false" customHeight="false" outlineLevel="0" collapsed="false">
      <c r="A23" s="11" t="n">
        <v>734</v>
      </c>
      <c r="B23" s="11" t="n">
        <v>332.74</v>
      </c>
      <c r="C23" s="0" t="s">
        <v>9</v>
      </c>
      <c r="D23" s="4"/>
      <c r="E23" s="12" t="n">
        <v>5.31E-009</v>
      </c>
    </row>
    <row r="24" customFormat="false" ht="12.75" hidden="false" customHeight="false" outlineLevel="0" collapsed="false">
      <c r="A24" s="11" t="n">
        <v>713.6</v>
      </c>
      <c r="B24" s="11" t="n">
        <v>343.53</v>
      </c>
      <c r="C24" s="0" t="s">
        <v>10</v>
      </c>
      <c r="D24" s="4"/>
      <c r="E24" s="12" t="n">
        <v>1.35E-007</v>
      </c>
    </row>
    <row r="25" customFormat="false" ht="12.75" hidden="false" customHeight="false" outlineLevel="0" collapsed="false">
      <c r="A25" s="7" t="n">
        <f aca="false">AVERAGE(A20:A24)</f>
        <v>715.318</v>
      </c>
      <c r="B25" s="7" t="n">
        <f aca="false">AVERAGE(B20:B24)</f>
        <v>340.176</v>
      </c>
      <c r="C25" s="6" t="s">
        <v>11</v>
      </c>
      <c r="D25" s="4"/>
    </row>
    <row r="26" customFormat="false" ht="12.75" hidden="false" customHeight="false" outlineLevel="0" collapsed="false">
      <c r="A26" s="7" t="n">
        <f aca="false">VAR(A20:A24)</f>
        <v>632.72832</v>
      </c>
      <c r="B26" s="7" t="n">
        <f aca="false">VAR(B20:B24)</f>
        <v>261.83348</v>
      </c>
      <c r="C26" s="6" t="s">
        <v>12</v>
      </c>
      <c r="D26" s="4"/>
    </row>
    <row r="27" customFormat="false" ht="12.75" hidden="false" customHeight="false" outlineLevel="0" collapsed="false">
      <c r="A27" s="7"/>
      <c r="B27" s="8" t="n">
        <f aca="false">(A25-B25)/SQRT((A26+B26)/2)*(1-3/(4*(5+5)-9))</f>
        <v>16.0214511664767</v>
      </c>
      <c r="C27" s="9" t="s">
        <v>13</v>
      </c>
      <c r="D27" s="4"/>
    </row>
    <row r="29" customFormat="false" ht="12.75" hidden="false" customHeight="false" outlineLevel="0" collapsed="false">
      <c r="A29" s="11" t="n">
        <v>633.93</v>
      </c>
      <c r="B29" s="11" t="n">
        <v>329.18</v>
      </c>
      <c r="D29" s="10" t="s">
        <v>16</v>
      </c>
      <c r="E29" s="12" t="n">
        <v>7.8E-006</v>
      </c>
    </row>
  </sheetData>
  <mergeCells count="3">
    <mergeCell ref="D2:D9"/>
    <mergeCell ref="D11:D18"/>
    <mergeCell ref="D20:D27"/>
  </mergeCells>
  <conditionalFormatting sqref="E2:E6 E11:E15 E20:E24 E29">
    <cfRule type="cellIs" priority="2" operator="lessThan" aboveAverage="0" equalAverage="0" bottom="0" percent="0" rank="0" text="" dxfId="1">
      <formula>0.05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5" activeCellId="0" sqref="D45"/>
    </sheetView>
  </sheetViews>
  <sheetFormatPr defaultColWidth="11.60546875" defaultRowHeight="12.75" zeroHeight="false" outlineLevelRow="0" outlineLevelCol="0"/>
  <cols>
    <col collapsed="false" customWidth="true" hidden="false" outlineLevel="0" max="4" min="4" style="0" width="14.69"/>
    <col collapsed="false" customWidth="true" hidden="false" outlineLevel="0" max="5" min="5" style="1" width="11.16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3" t="s">
        <v>18</v>
      </c>
    </row>
    <row r="2" customFormat="false" ht="12.75" hidden="false" customHeight="false" outlineLevel="0" collapsed="false">
      <c r="A2" s="13" t="n">
        <v>7.6</v>
      </c>
      <c r="B2" s="13" t="n">
        <v>6.79</v>
      </c>
      <c r="C2" s="0" t="s">
        <v>5</v>
      </c>
      <c r="D2" s="4" t="s">
        <v>6</v>
      </c>
      <c r="E2" s="14" t="s">
        <v>19</v>
      </c>
    </row>
    <row r="3" customFormat="false" ht="12.75" hidden="false" customHeight="false" outlineLevel="0" collapsed="false">
      <c r="A3" s="13" t="n">
        <v>7.98</v>
      </c>
      <c r="B3" s="13" t="n">
        <v>7.25</v>
      </c>
      <c r="C3" s="0" t="s">
        <v>7</v>
      </c>
      <c r="D3" s="4"/>
      <c r="E3" s="14" t="s">
        <v>19</v>
      </c>
    </row>
    <row r="4" customFormat="false" ht="12.75" hidden="false" customHeight="false" outlineLevel="0" collapsed="false">
      <c r="A4" s="13" t="n">
        <v>7.809</v>
      </c>
      <c r="B4" s="13" t="n">
        <v>6.705</v>
      </c>
      <c r="C4" s="0" t="s">
        <v>8</v>
      </c>
      <c r="D4" s="4"/>
      <c r="E4" s="15" t="s">
        <v>20</v>
      </c>
    </row>
    <row r="5" customFormat="false" ht="12.75" hidden="false" customHeight="false" outlineLevel="0" collapsed="false">
      <c r="A5" s="13" t="n">
        <v>8.07</v>
      </c>
      <c r="B5" s="13" t="n">
        <v>6.803</v>
      </c>
      <c r="C5" s="0" t="s">
        <v>9</v>
      </c>
      <c r="D5" s="4"/>
      <c r="E5" s="14" t="s">
        <v>19</v>
      </c>
    </row>
    <row r="6" customFormat="false" ht="12.75" hidden="false" customHeight="false" outlineLevel="0" collapsed="false">
      <c r="A6" s="13" t="n">
        <v>8.46</v>
      </c>
      <c r="B6" s="13" t="n">
        <v>6.46</v>
      </c>
      <c r="C6" s="0" t="s">
        <v>10</v>
      </c>
      <c r="D6" s="4"/>
      <c r="E6" s="15" t="s">
        <v>21</v>
      </c>
    </row>
    <row r="7" customFormat="false" ht="12.75" hidden="false" customHeight="false" outlineLevel="0" collapsed="false">
      <c r="A7" s="16" t="n">
        <f aca="false">AVERAGE(A2:A6)</f>
        <v>7.9838</v>
      </c>
      <c r="B7" s="16" t="n">
        <f aca="false">AVERAGE(B2:B6)</f>
        <v>6.8016</v>
      </c>
      <c r="C7" s="6" t="s">
        <v>11</v>
      </c>
      <c r="D7" s="4"/>
    </row>
    <row r="8" customFormat="false" ht="12.75" hidden="false" customHeight="false" outlineLevel="0" collapsed="false">
      <c r="A8" s="16" t="n">
        <f aca="false">VAR(A2:A6)</f>
        <v>0.1030172</v>
      </c>
      <c r="B8" s="16" t="n">
        <f aca="false">VAR(B2:B6)</f>
        <v>0.0818053</v>
      </c>
      <c r="C8" s="6" t="s">
        <v>12</v>
      </c>
      <c r="D8" s="4"/>
    </row>
    <row r="9" customFormat="false" ht="12.75" hidden="false" customHeight="false" outlineLevel="0" collapsed="false">
      <c r="A9" s="7"/>
      <c r="B9" s="8" t="n">
        <f aca="false">(A7-B7)/SQRT((A8+B8)/2)*(1-3/(4*(5+5)-9))</f>
        <v>3.51256904830727</v>
      </c>
      <c r="C9" s="9" t="s">
        <v>13</v>
      </c>
      <c r="D9" s="4"/>
    </row>
    <row r="10" customFormat="false" ht="12.75" hidden="false" customHeight="false" outlineLevel="0" collapsed="false">
      <c r="A10" s="13"/>
      <c r="B10" s="13"/>
    </row>
    <row r="11" customFormat="false" ht="12.75" hidden="false" customHeight="false" outlineLevel="0" collapsed="false">
      <c r="A11" s="13" t="n">
        <v>8.01</v>
      </c>
      <c r="B11" s="13" t="n">
        <v>6.94</v>
      </c>
      <c r="C11" s="0" t="s">
        <v>5</v>
      </c>
      <c r="D11" s="4" t="s">
        <v>14</v>
      </c>
      <c r="E11" s="15" t="s">
        <v>20</v>
      </c>
    </row>
    <row r="12" customFormat="false" ht="12.75" hidden="false" customHeight="false" outlineLevel="0" collapsed="false">
      <c r="A12" s="13" t="n">
        <v>8.13</v>
      </c>
      <c r="B12" s="13" t="n">
        <v>6.94</v>
      </c>
      <c r="C12" s="0" t="s">
        <v>7</v>
      </c>
      <c r="D12" s="4"/>
      <c r="E12" s="15" t="s">
        <v>20</v>
      </c>
    </row>
    <row r="13" customFormat="false" ht="12.75" hidden="false" customHeight="false" outlineLevel="0" collapsed="false">
      <c r="A13" s="13" t="n">
        <v>8.72</v>
      </c>
      <c r="B13" s="13" t="n">
        <v>6.94</v>
      </c>
      <c r="C13" s="0" t="s">
        <v>8</v>
      </c>
      <c r="D13" s="4"/>
      <c r="E13" s="15" t="s">
        <v>22</v>
      </c>
    </row>
    <row r="14" customFormat="false" ht="12.75" hidden="false" customHeight="false" outlineLevel="0" collapsed="false">
      <c r="A14" s="13" t="n">
        <v>7.842</v>
      </c>
      <c r="B14" s="13" t="n">
        <v>6.94</v>
      </c>
      <c r="C14" s="0" t="s">
        <v>9</v>
      </c>
      <c r="D14" s="4"/>
      <c r="E14" s="15" t="s">
        <v>20</v>
      </c>
    </row>
    <row r="15" customFormat="false" ht="12.75" hidden="false" customHeight="false" outlineLevel="0" collapsed="false">
      <c r="A15" s="13" t="n">
        <v>7.89</v>
      </c>
      <c r="B15" s="13" t="n">
        <v>6.94</v>
      </c>
      <c r="C15" s="0" t="s">
        <v>10</v>
      </c>
      <c r="D15" s="4"/>
      <c r="E15" s="15" t="s">
        <v>21</v>
      </c>
    </row>
    <row r="16" customFormat="false" ht="12.75" hidden="false" customHeight="false" outlineLevel="0" collapsed="false">
      <c r="A16" s="16" t="n">
        <f aca="false">AVERAGE(A11:A15)</f>
        <v>8.1184</v>
      </c>
      <c r="B16" s="16" t="n">
        <f aca="false">AVERAGE(B11:B15)</f>
        <v>6.94</v>
      </c>
      <c r="C16" s="6" t="s">
        <v>11</v>
      </c>
      <c r="D16" s="4"/>
    </row>
    <row r="17" customFormat="false" ht="12.75" hidden="false" customHeight="false" outlineLevel="0" collapsed="false">
      <c r="A17" s="16" t="n">
        <f aca="false">VAR(A11:A15)</f>
        <v>0.1255928</v>
      </c>
      <c r="B17" s="16" t="n">
        <f aca="false">VAR(B11:B15)</f>
        <v>0</v>
      </c>
      <c r="C17" s="6" t="s">
        <v>12</v>
      </c>
      <c r="D17" s="4"/>
    </row>
    <row r="18" customFormat="false" ht="12.75" hidden="false" customHeight="false" outlineLevel="0" collapsed="false">
      <c r="A18" s="7"/>
      <c r="B18" s="8" t="n">
        <f aca="false">(A16-B16)/SQRT((A17+B17)/2)*(1-3/(4*(5+5)-9))</f>
        <v>4.24738567280584</v>
      </c>
      <c r="C18" s="9" t="s">
        <v>13</v>
      </c>
      <c r="D18" s="4"/>
    </row>
    <row r="20" customFormat="false" ht="12.75" hidden="false" customHeight="false" outlineLevel="0" collapsed="false">
      <c r="A20" s="13" t="n">
        <v>8.175</v>
      </c>
      <c r="B20" s="13" t="n">
        <v>6.94</v>
      </c>
      <c r="C20" s="0" t="s">
        <v>5</v>
      </c>
      <c r="D20" s="4" t="s">
        <v>15</v>
      </c>
      <c r="E20" s="17" t="s">
        <v>20</v>
      </c>
    </row>
    <row r="21" customFormat="false" ht="12.75" hidden="false" customHeight="false" outlineLevel="0" collapsed="false">
      <c r="A21" s="13" t="n">
        <v>8.38</v>
      </c>
      <c r="B21" s="13" t="n">
        <v>6.94</v>
      </c>
      <c r="C21" s="0" t="s">
        <v>7</v>
      </c>
      <c r="D21" s="4"/>
      <c r="E21" s="17" t="s">
        <v>23</v>
      </c>
    </row>
    <row r="22" customFormat="false" ht="12.75" hidden="false" customHeight="false" outlineLevel="0" collapsed="false">
      <c r="A22" s="13" t="n">
        <v>8.02</v>
      </c>
      <c r="B22" s="13" t="n">
        <v>6.94</v>
      </c>
      <c r="C22" s="0" t="s">
        <v>8</v>
      </c>
      <c r="D22" s="4"/>
      <c r="E22" s="17" t="s">
        <v>20</v>
      </c>
    </row>
    <row r="23" customFormat="false" ht="12.75" hidden="false" customHeight="false" outlineLevel="0" collapsed="false">
      <c r="A23" s="13" t="n">
        <v>8.28</v>
      </c>
      <c r="B23" s="13" t="n">
        <v>6.94</v>
      </c>
      <c r="C23" s="0" t="s">
        <v>9</v>
      </c>
      <c r="D23" s="4"/>
      <c r="E23" s="17" t="s">
        <v>20</v>
      </c>
    </row>
    <row r="24" customFormat="false" ht="12.75" hidden="false" customHeight="false" outlineLevel="0" collapsed="false">
      <c r="A24" s="13" t="n">
        <v>8.29</v>
      </c>
      <c r="B24" s="13" t="n">
        <v>6.94</v>
      </c>
      <c r="C24" s="0" t="s">
        <v>10</v>
      </c>
      <c r="D24" s="4"/>
      <c r="E24" s="17" t="s">
        <v>23</v>
      </c>
    </row>
    <row r="25" customFormat="false" ht="12.75" hidden="false" customHeight="false" outlineLevel="0" collapsed="false">
      <c r="A25" s="16" t="n">
        <f aca="false">AVERAGE(A20:A24)</f>
        <v>8.229</v>
      </c>
      <c r="B25" s="16" t="n">
        <f aca="false">AVERAGE(B20:B24)</f>
        <v>6.94</v>
      </c>
      <c r="C25" s="6" t="s">
        <v>11</v>
      </c>
      <c r="D25" s="4"/>
    </row>
    <row r="26" customFormat="false" ht="12.75" hidden="false" customHeight="false" outlineLevel="0" collapsed="false">
      <c r="A26" s="16" t="n">
        <f aca="false">VAR(A20:A24)</f>
        <v>0.01893</v>
      </c>
      <c r="B26" s="16" t="n">
        <f aca="false">VAR(B20:B24)</f>
        <v>0</v>
      </c>
      <c r="C26" s="6" t="s">
        <v>12</v>
      </c>
      <c r="D26" s="4"/>
    </row>
    <row r="27" customFormat="false" ht="12.75" hidden="false" customHeight="false" outlineLevel="0" collapsed="false">
      <c r="A27" s="7"/>
      <c r="B27" s="8" t="n">
        <f aca="false">(A25-B25)/SQRT((A26+B26)/2)*(1-3/(4*(5+5)-9))</f>
        <v>11.9671007053154</v>
      </c>
      <c r="C27" s="9" t="s">
        <v>13</v>
      </c>
      <c r="D27" s="4"/>
    </row>
    <row r="29" customFormat="false" ht="12.75" hidden="false" customHeight="false" outlineLevel="0" collapsed="false">
      <c r="A29" s="13" t="n">
        <v>8.54</v>
      </c>
      <c r="B29" s="13" t="n">
        <v>6.94</v>
      </c>
      <c r="D29" s="10" t="s">
        <v>16</v>
      </c>
      <c r="E29" s="15" t="s">
        <v>20</v>
      </c>
    </row>
  </sheetData>
  <mergeCells count="3">
    <mergeCell ref="D2:D9"/>
    <mergeCell ref="D11:D18"/>
    <mergeCell ref="D20:D27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2026-06-12T13:33:59Z</dcterms:created>
  <dc:creator/>
  <dc:description/>
  <dc:language>en-US</dc:language>
  <cp:lastModifiedBy>Lucas De Vrieze</cp:lastModifiedBy>
  <dcterms:modified xsi:type="dcterms:W3CDTF">2026-08-03T14:19:22Z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