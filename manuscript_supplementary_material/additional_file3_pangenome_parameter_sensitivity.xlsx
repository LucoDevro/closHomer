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Z:\PhD\writings\papers\ClosHomer_paper2\"/>
    </mc:Choice>
  </mc:AlternateContent>
  <xr:revisionPtr revIDLastSave="0" documentId="13_ncr:1_{69ACA2FF-F2D4-465F-AD67-E8D666803BAE}" xr6:coauthVersionLast="47" xr6:coauthVersionMax="47" xr10:uidLastSave="{00000000-0000-0000-0000-000000000000}"/>
  <bookViews>
    <workbookView xWindow="-120" yWindow="-120" windowWidth="29040" windowHeight="15840" tabRatio="500" xr2:uid="{00000000-000D-0000-FFFF-FFFF00000000}"/>
  </bookViews>
  <sheets>
    <sheet name="README" sheetId="1" r:id="rId1"/>
    <sheet name="Clustering thresholds" sheetId="2" r:id="rId2"/>
    <sheet name="Partitioning thresholds"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G3" i="3" l="1"/>
</calcChain>
</file>

<file path=xl/sharedStrings.xml><?xml version="1.0" encoding="utf-8"?>
<sst xmlns="http://schemas.openxmlformats.org/spreadsheetml/2006/main" count="46" uniqueCount="31">
  <si>
    <t>Supplementary Information on the pangenome parameter sweep</t>
  </si>
  <si>
    <t xml:space="preserve">The pangenome clustering and partitioning thresholds are determined by a parameter sensitivity analysis of the number of gene families in each partition. </t>
  </si>
  <si>
    <t>In a first phase, we fixed the partitioning thresholds at rather relaxed values (core-accessory: 90%; accessory-unique: 15%) and varied the clustering thresholds. For each parameter combination, we plotted the impact of both the clustering and the coverage thresholds on the number of gene families in each partition.</t>
  </si>
  <si>
    <t>The clustering thresholds were chosen in such a way that they are close to the elbow of the core genome plot, and to the top of the accessory genome plot.</t>
  </si>
  <si>
    <t>In a second phase, we fixed the clustering thresholds at the values selected in the previous phase (40% identity, 40% coverage), and varied the partitioning thresholds.</t>
  </si>
  <si>
    <t>Similarly as before, the partitioning thresholds were chosen because of the presence of an elbow in the threshold vs. number of gene families curves. For the core-accessory threshold, this came down to a value of 90%.</t>
  </si>
  <si>
    <t>For the accessory-unique threshold, there was no clear elbow in the curves, so we applied a strict definition of a unique pangenome: a gene family present in only one genome. This means setting a threshold of 1/1010 or 0,099%.</t>
  </si>
  <si>
    <t>Clustering identity</t>
  </si>
  <si>
    <t>Clustering coverage</t>
  </si>
  <si>
    <t>partitions</t>
  </si>
  <si>
    <t>ca</t>
  </si>
  <si>
    <t>au</t>
  </si>
  <si>
    <t>core</t>
  </si>
  <si>
    <t>ID%</t>
  </si>
  <si>
    <t>COV%</t>
  </si>
  <si>
    <t>shell</t>
  </si>
  <si>
    <t>cloud</t>
  </si>
  <si>
    <t>clustering</t>
  </si>
  <si>
    <t>id%</t>
  </si>
  <si>
    <t>cov%</t>
  </si>
  <si>
    <t>accessory</t>
  </si>
  <si>
    <t>unique</t>
  </si>
  <si>
    <t>The idea is to find the threshold values at which gene families tend to fragment, as this can serve as a proxy for the genomic divergence rate.</t>
  </si>
  <si>
    <t>For example, a low evolutionary rate makes an orthologous gene family split into a low number of gene family clusters as all gene family members are still relatively similar. The higher the evolutionary rate, the more gene family clusters an orthologous gene family will fragment into.</t>
  </si>
  <si>
    <t>The idea of this parameter sweep is to find the middle ground between little family fragmentation at too low threshold values, and too extensive gene family splintering at too high threshold values.</t>
  </si>
  <si>
    <t>Hence, we pick a set of parameters for which core and accessory gene family counts are close to their respective maxima, in a similar fashion as a PCA elbow plot.</t>
  </si>
  <si>
    <t>We optimised all parameter values using a two-step iterative approach.</t>
  </si>
  <si>
    <t>As such, we selected a coverage threshold of 40%, as it is close to the elbow points in the core genome plot. The identity threshold of 40% was selected because it is the value at which the accessory genome plot tops.</t>
  </si>
  <si>
    <t>Chosen threshold values</t>
  </si>
  <si>
    <t>Core-accessory partitioning</t>
  </si>
  <si>
    <t>Accessory-unique partitioning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</si>
</sst>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0"/>
      <name val="Arial"/>
      <family val="2"/>
      <charset val="1"/>
    </font>
    <font>
      <b/>
      <sz val="10"/>
      <name val="Arial"/>
      <family val="2"/>
      <charset val="1"/>
    </font>
    <font>
      <sz val="10"/>
      <name val="Arial"/>
      <family val="2"/>
    </font>
    <font>
      <i/>
      <sz val="10"/>
      <name val="Arial"/>
      <family val="2"/>
      <charset val="1"/>
    </font>
  </fonts>
  <fills count="2">
    <fill>
      <patternFill patternType="none"/>
    </fill>
    <fill>
      <patternFill patternType="gray125"/>
    </fill>
  </fills>
  <borders count="9">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1" fillId="0" borderId="1" xfId="0" applyFont="1" applyBorder="1"/>
    <xf numFmtId="0" fontId="0" fillId="0" borderId="2" xfId="0" applyBorder="1"/>
    <xf numFmtId="0" fontId="3" fillId="0" borderId="3" xfId="0" applyFont="1" applyBorder="1"/>
    <xf numFmtId="9" fontId="0" fillId="0" borderId="4" xfId="0" applyNumberFormat="1" applyBorder="1"/>
    <xf numFmtId="0" fontId="3" fillId="0" borderId="5" xfId="0" applyFont="1" applyBorder="1"/>
    <xf numFmtId="164" fontId="0" fillId="0" borderId="6" xfId="0" applyNumberFormat="1" applyBorder="1"/>
    <xf numFmtId="0" fontId="1" fillId="0" borderId="7" xfId="0" applyFont="1" applyBorder="1"/>
    <xf numFmtId="0" fontId="1" fillId="0" borderId="8" xfId="0" applyFont="1" applyBorder="1"/>
    <xf numFmtId="0" fontId="1" fillId="0" borderId="5" xfId="0" applyFont="1" applyBorder="1"/>
    <xf numFmtId="0" fontId="1" fillId="0" borderId="6"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E0021"/>
      <rgbColor rgb="FF008000"/>
      <rgbColor rgb="FF000080"/>
      <rgbColor rgb="FF808000"/>
      <rgbColor rgb="FF800080"/>
      <rgbColor rgb="FF008080"/>
      <rgbColor rgb="FFB3B3B3"/>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3CAFF"/>
      <rgbColor rgb="FFFF99CC"/>
      <rgbColor rgb="FFCC99FF"/>
      <rgbColor rgb="FFFFCC99"/>
      <rgbColor rgb="FF3366FF"/>
      <rgbColor rgb="FF33CCCC"/>
      <rgbColor rgb="FFAECF00"/>
      <rgbColor rgb="FFFFD320"/>
      <rgbColor rgb="FFFF9900"/>
      <rgbColor rgb="FFFF420E"/>
      <rgbColor rgb="FF666699"/>
      <rgbColor rgb="FF969696"/>
      <rgbColor rgb="FF004586"/>
      <rgbColor rgb="FF579D1C"/>
      <rgbColor rgb="FF003300"/>
      <rgbColor rgb="FF314004"/>
      <rgbColor rgb="FF993300"/>
      <rgbColor rgb="FF993366"/>
      <rgbColor rgb="FF4B1F6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GB" sz="1300" b="0" strike="noStrike" spc="-1">
                <a:solidFill>
                  <a:srgbClr val="000000"/>
                </a:solidFill>
                <a:latin typeface="Arial"/>
              </a:defRPr>
            </a:pPr>
            <a:r>
              <a:rPr lang="en-GB" sz="1300" b="0" strike="noStrike" spc="-1">
                <a:solidFill>
                  <a:srgbClr val="000000"/>
                </a:solidFill>
                <a:latin typeface="Arial"/>
              </a:rPr>
              <a:t>Constant identity %</a:t>
            </a:r>
          </a:p>
        </c:rich>
      </c:tx>
      <c:overlay val="0"/>
      <c:spPr>
        <a:noFill/>
        <a:ln w="0">
          <a:noFill/>
        </a:ln>
      </c:spPr>
    </c:title>
    <c:autoTitleDeleted val="0"/>
    <c:plotArea>
      <c:layout/>
      <c:scatterChart>
        <c:scatterStyle val="lineMarker"/>
        <c:varyColors val="0"/>
        <c:ser>
          <c:idx val="0"/>
          <c:order val="0"/>
          <c:tx>
            <c:strRef>
              <c:f>'Clustering thresholds'!$A$7</c:f>
              <c:strCache>
                <c:ptCount val="1"/>
                <c:pt idx="0">
                  <c:v>30</c:v>
                </c:pt>
              </c:strCache>
            </c:strRef>
          </c:tx>
          <c:spPr>
            <a:ln w="28800">
              <a:solidFill>
                <a:srgbClr val="004586"/>
              </a:solidFill>
              <a:round/>
            </a:ln>
          </c:spPr>
          <c:marker>
            <c:symbol val="square"/>
            <c:size val="8"/>
            <c:spPr>
              <a:solidFill>
                <a:srgbClr val="004586"/>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thresholds'!$B$6:$F$6</c:f>
              <c:numCache>
                <c:formatCode>General</c:formatCode>
                <c:ptCount val="5"/>
                <c:pt idx="0">
                  <c:v>20</c:v>
                </c:pt>
                <c:pt idx="1">
                  <c:v>30</c:v>
                </c:pt>
                <c:pt idx="2">
                  <c:v>40</c:v>
                </c:pt>
                <c:pt idx="3">
                  <c:v>50</c:v>
                </c:pt>
                <c:pt idx="4">
                  <c:v>60</c:v>
                </c:pt>
              </c:numCache>
            </c:numRef>
          </c:xVal>
          <c:yVal>
            <c:numRef>
              <c:f>'Clustering thresholds'!$B$7:$F$7</c:f>
              <c:numCache>
                <c:formatCode>General</c:formatCode>
                <c:ptCount val="5"/>
                <c:pt idx="0">
                  <c:v>361</c:v>
                </c:pt>
                <c:pt idx="1">
                  <c:v>400</c:v>
                </c:pt>
                <c:pt idx="2">
                  <c:v>352</c:v>
                </c:pt>
                <c:pt idx="3">
                  <c:v>214</c:v>
                </c:pt>
                <c:pt idx="4">
                  <c:v>99</c:v>
                </c:pt>
              </c:numCache>
            </c:numRef>
          </c:yVal>
          <c:smooth val="0"/>
          <c:extLst>
            <c:ext xmlns:c16="http://schemas.microsoft.com/office/drawing/2014/chart" uri="{C3380CC4-5D6E-409C-BE32-E72D297353CC}">
              <c16:uniqueId val="{00000000-8077-4159-9C4B-E7EA9EC8F3E8}"/>
            </c:ext>
          </c:extLst>
        </c:ser>
        <c:ser>
          <c:idx val="1"/>
          <c:order val="1"/>
          <c:tx>
            <c:strRef>
              <c:f>'Clustering thresholds'!$A$8</c:f>
              <c:strCache>
                <c:ptCount val="1"/>
                <c:pt idx="0">
                  <c:v>40</c:v>
                </c:pt>
              </c:strCache>
            </c:strRef>
          </c:tx>
          <c:spPr>
            <a:ln w="28800">
              <a:solidFill>
                <a:srgbClr val="FF420E"/>
              </a:solidFill>
              <a:round/>
            </a:ln>
          </c:spPr>
          <c:marker>
            <c:symbol val="diamond"/>
            <c:size val="8"/>
            <c:spPr>
              <a:solidFill>
                <a:srgbClr val="FF420E"/>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thresholds'!$B$6:$F$6</c:f>
              <c:numCache>
                <c:formatCode>General</c:formatCode>
                <c:ptCount val="5"/>
                <c:pt idx="0">
                  <c:v>20</c:v>
                </c:pt>
                <c:pt idx="1">
                  <c:v>30</c:v>
                </c:pt>
                <c:pt idx="2">
                  <c:v>40</c:v>
                </c:pt>
                <c:pt idx="3">
                  <c:v>50</c:v>
                </c:pt>
                <c:pt idx="4">
                  <c:v>60</c:v>
                </c:pt>
              </c:numCache>
            </c:numRef>
          </c:xVal>
          <c:yVal>
            <c:numRef>
              <c:f>'Clustering thresholds'!$B$8:$F$8</c:f>
              <c:numCache>
                <c:formatCode>General</c:formatCode>
                <c:ptCount val="5"/>
                <c:pt idx="0">
                  <c:v>423</c:v>
                </c:pt>
                <c:pt idx="1">
                  <c:v>446</c:v>
                </c:pt>
                <c:pt idx="2">
                  <c:v>353</c:v>
                </c:pt>
                <c:pt idx="3">
                  <c:v>208</c:v>
                </c:pt>
                <c:pt idx="4">
                  <c:v>98</c:v>
                </c:pt>
              </c:numCache>
            </c:numRef>
          </c:yVal>
          <c:smooth val="0"/>
          <c:extLst>
            <c:ext xmlns:c16="http://schemas.microsoft.com/office/drawing/2014/chart" uri="{C3380CC4-5D6E-409C-BE32-E72D297353CC}">
              <c16:uniqueId val="{00000001-8077-4159-9C4B-E7EA9EC8F3E8}"/>
            </c:ext>
          </c:extLst>
        </c:ser>
        <c:ser>
          <c:idx val="2"/>
          <c:order val="2"/>
          <c:tx>
            <c:strRef>
              <c:f>'Clustering thresholds'!$A$9</c:f>
              <c:strCache>
                <c:ptCount val="1"/>
                <c:pt idx="0">
                  <c:v>50</c:v>
                </c:pt>
              </c:strCache>
            </c:strRef>
          </c:tx>
          <c:spPr>
            <a:ln w="28800">
              <a:solidFill>
                <a:srgbClr val="FFD320"/>
              </a:solidFill>
              <a:round/>
            </a:ln>
          </c:spPr>
          <c:marker>
            <c:symbol val="triangle"/>
            <c:size val="8"/>
            <c:spPr>
              <a:solidFill>
                <a:srgbClr val="FFD320"/>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thresholds'!$B$6:$F$6</c:f>
              <c:numCache>
                <c:formatCode>General</c:formatCode>
                <c:ptCount val="5"/>
                <c:pt idx="0">
                  <c:v>20</c:v>
                </c:pt>
                <c:pt idx="1">
                  <c:v>30</c:v>
                </c:pt>
                <c:pt idx="2">
                  <c:v>40</c:v>
                </c:pt>
                <c:pt idx="3">
                  <c:v>50</c:v>
                </c:pt>
                <c:pt idx="4">
                  <c:v>60</c:v>
                </c:pt>
              </c:numCache>
            </c:numRef>
          </c:xVal>
          <c:yVal>
            <c:numRef>
              <c:f>'Clustering thresholds'!$B$9:$F$9</c:f>
              <c:numCache>
                <c:formatCode>General</c:formatCode>
                <c:ptCount val="5"/>
                <c:pt idx="0">
                  <c:v>481</c:v>
                </c:pt>
                <c:pt idx="1">
                  <c:v>462</c:v>
                </c:pt>
                <c:pt idx="2">
                  <c:v>344</c:v>
                </c:pt>
                <c:pt idx="3">
                  <c:v>207</c:v>
                </c:pt>
                <c:pt idx="4">
                  <c:v>97</c:v>
                </c:pt>
              </c:numCache>
            </c:numRef>
          </c:yVal>
          <c:smooth val="0"/>
          <c:extLst>
            <c:ext xmlns:c16="http://schemas.microsoft.com/office/drawing/2014/chart" uri="{C3380CC4-5D6E-409C-BE32-E72D297353CC}">
              <c16:uniqueId val="{00000002-8077-4159-9C4B-E7EA9EC8F3E8}"/>
            </c:ext>
          </c:extLst>
        </c:ser>
        <c:ser>
          <c:idx val="3"/>
          <c:order val="3"/>
          <c:tx>
            <c:strRef>
              <c:f>'Clustering thresholds'!$A$10</c:f>
              <c:strCache>
                <c:ptCount val="1"/>
                <c:pt idx="0">
                  <c:v>60</c:v>
                </c:pt>
              </c:strCache>
            </c:strRef>
          </c:tx>
          <c:spPr>
            <a:ln w="28800">
              <a:solidFill>
                <a:srgbClr val="579D1C"/>
              </a:solidFill>
              <a:round/>
            </a:ln>
          </c:spPr>
          <c:marker>
            <c:symbol val="triangle"/>
            <c:size val="8"/>
            <c:spPr>
              <a:solidFill>
                <a:srgbClr val="579D1C"/>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thresholds'!$B$6:$F$6</c:f>
              <c:numCache>
                <c:formatCode>General</c:formatCode>
                <c:ptCount val="5"/>
                <c:pt idx="0">
                  <c:v>20</c:v>
                </c:pt>
                <c:pt idx="1">
                  <c:v>30</c:v>
                </c:pt>
                <c:pt idx="2">
                  <c:v>40</c:v>
                </c:pt>
                <c:pt idx="3">
                  <c:v>50</c:v>
                </c:pt>
                <c:pt idx="4">
                  <c:v>60</c:v>
                </c:pt>
              </c:numCache>
            </c:numRef>
          </c:xVal>
          <c:yVal>
            <c:numRef>
              <c:f>'Clustering thresholds'!$B$10:$F$10</c:f>
              <c:numCache>
                <c:formatCode>General</c:formatCode>
                <c:ptCount val="5"/>
                <c:pt idx="0">
                  <c:v>491</c:v>
                </c:pt>
                <c:pt idx="1">
                  <c:v>454</c:v>
                </c:pt>
                <c:pt idx="2">
                  <c:v>338</c:v>
                </c:pt>
                <c:pt idx="3">
                  <c:v>208</c:v>
                </c:pt>
                <c:pt idx="4">
                  <c:v>96</c:v>
                </c:pt>
              </c:numCache>
            </c:numRef>
          </c:yVal>
          <c:smooth val="0"/>
          <c:extLst>
            <c:ext xmlns:c16="http://schemas.microsoft.com/office/drawing/2014/chart" uri="{C3380CC4-5D6E-409C-BE32-E72D297353CC}">
              <c16:uniqueId val="{00000003-8077-4159-9C4B-E7EA9EC8F3E8}"/>
            </c:ext>
          </c:extLst>
        </c:ser>
        <c:ser>
          <c:idx val="4"/>
          <c:order val="4"/>
          <c:tx>
            <c:strRef>
              <c:f>'Clustering thresholds'!$A$11</c:f>
              <c:strCache>
                <c:ptCount val="1"/>
                <c:pt idx="0">
                  <c:v>70</c:v>
                </c:pt>
              </c:strCache>
            </c:strRef>
          </c:tx>
          <c:spPr>
            <a:ln w="28800">
              <a:solidFill>
                <a:srgbClr val="7E0021"/>
              </a:solidFill>
              <a:round/>
            </a:ln>
          </c:spPr>
          <c:marker>
            <c:symbol val="triangle"/>
            <c:size val="8"/>
            <c:spPr>
              <a:solidFill>
                <a:srgbClr val="7E0021"/>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thresholds'!$B$6:$F$6</c:f>
              <c:numCache>
                <c:formatCode>General</c:formatCode>
                <c:ptCount val="5"/>
                <c:pt idx="0">
                  <c:v>20</c:v>
                </c:pt>
                <c:pt idx="1">
                  <c:v>30</c:v>
                </c:pt>
                <c:pt idx="2">
                  <c:v>40</c:v>
                </c:pt>
                <c:pt idx="3">
                  <c:v>50</c:v>
                </c:pt>
                <c:pt idx="4">
                  <c:v>60</c:v>
                </c:pt>
              </c:numCache>
            </c:numRef>
          </c:xVal>
          <c:yVal>
            <c:numRef>
              <c:f>'Clustering thresholds'!$B$11:$F$11</c:f>
              <c:numCache>
                <c:formatCode>General</c:formatCode>
                <c:ptCount val="5"/>
                <c:pt idx="0">
                  <c:v>484</c:v>
                </c:pt>
                <c:pt idx="1">
                  <c:v>446</c:v>
                </c:pt>
                <c:pt idx="2">
                  <c:v>329</c:v>
                </c:pt>
                <c:pt idx="3">
                  <c:v>205</c:v>
                </c:pt>
                <c:pt idx="4">
                  <c:v>94</c:v>
                </c:pt>
              </c:numCache>
            </c:numRef>
          </c:yVal>
          <c:smooth val="0"/>
          <c:extLst>
            <c:ext xmlns:c16="http://schemas.microsoft.com/office/drawing/2014/chart" uri="{C3380CC4-5D6E-409C-BE32-E72D297353CC}">
              <c16:uniqueId val="{00000004-8077-4159-9C4B-E7EA9EC8F3E8}"/>
            </c:ext>
          </c:extLst>
        </c:ser>
        <c:dLbls>
          <c:showLegendKey val="0"/>
          <c:showVal val="0"/>
          <c:showCatName val="0"/>
          <c:showSerName val="0"/>
          <c:showPercent val="0"/>
          <c:showBubbleSize val="0"/>
        </c:dLbls>
        <c:axId val="11863366"/>
        <c:axId val="27355778"/>
      </c:scatterChart>
      <c:valAx>
        <c:axId val="11863366"/>
        <c:scaling>
          <c:orientation val="minMax"/>
          <c:max val="60"/>
          <c:min val="20"/>
        </c:scaling>
        <c:delete val="0"/>
        <c:axPos val="b"/>
        <c:title>
          <c:tx>
            <c:rich>
              <a:bodyPr rot="0"/>
              <a:lstStyle/>
              <a:p>
                <a:pPr>
                  <a:defRPr lang="en-GB" sz="1000" b="1" strike="noStrike" spc="-1">
                    <a:solidFill>
                      <a:srgbClr val="000000"/>
                    </a:solidFill>
                    <a:latin typeface="Aptos Narrow"/>
                  </a:defRPr>
                </a:pPr>
                <a:r>
                  <a:rPr lang="en-GB" sz="1000" b="1" strike="noStrike" spc="-1">
                    <a:solidFill>
                      <a:srgbClr val="000000"/>
                    </a:solidFill>
                    <a:latin typeface="Aptos Narrow"/>
                  </a:rPr>
                  <a:t>Coverage %</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Arial"/>
              </a:defRPr>
            </a:pPr>
            <a:endParaRPr lang="en-BE"/>
          </a:p>
        </c:txPr>
        <c:crossAx val="27355778"/>
        <c:crosses val="autoZero"/>
        <c:crossBetween val="midCat"/>
      </c:valAx>
      <c:valAx>
        <c:axId val="27355778"/>
        <c:scaling>
          <c:orientation val="minMax"/>
        </c:scaling>
        <c:delete val="0"/>
        <c:axPos val="l"/>
        <c:majorGridlines>
          <c:spPr>
            <a:ln w="0">
              <a:solidFill>
                <a:srgbClr val="B3B3B3"/>
              </a:solidFill>
            </a:ln>
          </c:spPr>
        </c:majorGridlines>
        <c:title>
          <c:tx>
            <c:rich>
              <a:bodyPr rot="-5400000"/>
              <a:lstStyle/>
              <a:p>
                <a:pPr>
                  <a:defRPr lang="en-GB" sz="1000" b="1" strike="noStrike" spc="-1">
                    <a:solidFill>
                      <a:srgbClr val="000000"/>
                    </a:solidFill>
                    <a:latin typeface="Aptos Narrow"/>
                  </a:defRPr>
                </a:pPr>
                <a:r>
                  <a:rPr lang="en-GB" sz="1000" b="1" strike="noStrike" spc="-1">
                    <a:solidFill>
                      <a:srgbClr val="000000"/>
                    </a:solidFill>
                    <a:latin typeface="Aptos Narrow"/>
                  </a:rPr>
                  <a:t># core families</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Arial"/>
              </a:defRPr>
            </a:pPr>
            <a:endParaRPr lang="en-BE"/>
          </a:p>
        </c:txPr>
        <c:crossAx val="11863366"/>
        <c:crosses val="autoZero"/>
        <c:crossBetween val="midCat"/>
      </c:valAx>
      <c:spPr>
        <a:noFill/>
        <a:ln w="0">
          <a:solidFill>
            <a:srgbClr val="B3B3B3"/>
          </a:solidFill>
        </a:ln>
      </c:spPr>
    </c:plotArea>
    <c:legend>
      <c:legendPos val="r"/>
      <c:overlay val="0"/>
      <c:spPr>
        <a:noFill/>
        <a:ln w="0">
          <a:noFill/>
        </a:ln>
      </c:spPr>
      <c:txPr>
        <a:bodyPr/>
        <a:lstStyle/>
        <a:p>
          <a:pPr>
            <a:defRPr sz="1000" b="0" strike="noStrike" spc="-1">
              <a:solidFill>
                <a:srgbClr val="000000"/>
              </a:solidFill>
              <a:latin typeface="Arial"/>
            </a:defRPr>
          </a:pPr>
          <a:endParaRPr lang="en-BE"/>
        </a:p>
      </c:txPr>
    </c:legend>
    <c:plotVisOnly val="1"/>
    <c:dispBlanksAs val="span"/>
    <c:showDLblsOverMax val="1"/>
  </c:chart>
  <c:spPr>
    <a:solidFill>
      <a:srgbClr val="FFFFFF"/>
    </a:solidFill>
    <a:ln w="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GB" sz="1300" b="0" strike="noStrike" spc="-1">
                <a:solidFill>
                  <a:srgbClr val="000000"/>
                </a:solidFill>
                <a:latin typeface="Arial"/>
              </a:defRPr>
            </a:pPr>
            <a:r>
              <a:rPr lang="en-GB" sz="1300" b="0" strike="noStrike" spc="-1">
                <a:solidFill>
                  <a:srgbClr val="000000"/>
                </a:solidFill>
                <a:latin typeface="Arial"/>
              </a:rPr>
              <a:t>Constant identity %</a:t>
            </a:r>
          </a:p>
        </c:rich>
      </c:tx>
      <c:overlay val="0"/>
      <c:spPr>
        <a:noFill/>
        <a:ln w="0">
          <a:noFill/>
        </a:ln>
      </c:spPr>
    </c:title>
    <c:autoTitleDeleted val="0"/>
    <c:plotArea>
      <c:layout/>
      <c:scatterChart>
        <c:scatterStyle val="lineMarker"/>
        <c:varyColors val="0"/>
        <c:ser>
          <c:idx val="0"/>
          <c:order val="0"/>
          <c:tx>
            <c:strRef>
              <c:f>'Clustering thresholds'!$A$20</c:f>
              <c:strCache>
                <c:ptCount val="1"/>
                <c:pt idx="0">
                  <c:v>30</c:v>
                </c:pt>
              </c:strCache>
            </c:strRef>
          </c:tx>
          <c:spPr>
            <a:ln w="28800">
              <a:solidFill>
                <a:srgbClr val="004586"/>
              </a:solidFill>
              <a:round/>
            </a:ln>
          </c:spPr>
          <c:marker>
            <c:symbol val="square"/>
            <c:size val="8"/>
            <c:spPr>
              <a:solidFill>
                <a:srgbClr val="004586"/>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thresholds'!$B$19:$F$19</c:f>
              <c:numCache>
                <c:formatCode>General</c:formatCode>
                <c:ptCount val="5"/>
                <c:pt idx="0">
                  <c:v>20</c:v>
                </c:pt>
                <c:pt idx="1">
                  <c:v>30</c:v>
                </c:pt>
                <c:pt idx="2">
                  <c:v>40</c:v>
                </c:pt>
                <c:pt idx="3">
                  <c:v>50</c:v>
                </c:pt>
                <c:pt idx="4">
                  <c:v>60</c:v>
                </c:pt>
              </c:numCache>
            </c:numRef>
          </c:xVal>
          <c:yVal>
            <c:numRef>
              <c:f>'Clustering thresholds'!$B$20:$F$20</c:f>
              <c:numCache>
                <c:formatCode>General</c:formatCode>
                <c:ptCount val="5"/>
                <c:pt idx="0">
                  <c:v>1673</c:v>
                </c:pt>
                <c:pt idx="1">
                  <c:v>2082</c:v>
                </c:pt>
                <c:pt idx="2">
                  <c:v>2466</c:v>
                </c:pt>
                <c:pt idx="3">
                  <c:v>2381</c:v>
                </c:pt>
                <c:pt idx="4">
                  <c:v>1774</c:v>
                </c:pt>
              </c:numCache>
            </c:numRef>
          </c:yVal>
          <c:smooth val="0"/>
          <c:extLst>
            <c:ext xmlns:c16="http://schemas.microsoft.com/office/drawing/2014/chart" uri="{C3380CC4-5D6E-409C-BE32-E72D297353CC}">
              <c16:uniqueId val="{00000000-1A6C-4E04-8617-A32AEFF40C56}"/>
            </c:ext>
          </c:extLst>
        </c:ser>
        <c:ser>
          <c:idx val="1"/>
          <c:order val="1"/>
          <c:tx>
            <c:strRef>
              <c:f>'Clustering thresholds'!$A$21</c:f>
              <c:strCache>
                <c:ptCount val="1"/>
                <c:pt idx="0">
                  <c:v>40</c:v>
                </c:pt>
              </c:strCache>
            </c:strRef>
          </c:tx>
          <c:spPr>
            <a:ln w="28800">
              <a:solidFill>
                <a:srgbClr val="FF420E"/>
              </a:solidFill>
              <a:round/>
            </a:ln>
          </c:spPr>
          <c:marker>
            <c:symbol val="diamond"/>
            <c:size val="8"/>
            <c:spPr>
              <a:solidFill>
                <a:srgbClr val="FF420E"/>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thresholds'!$B$19:$F$19</c:f>
              <c:numCache>
                <c:formatCode>General</c:formatCode>
                <c:ptCount val="5"/>
                <c:pt idx="0">
                  <c:v>20</c:v>
                </c:pt>
                <c:pt idx="1">
                  <c:v>30</c:v>
                </c:pt>
                <c:pt idx="2">
                  <c:v>40</c:v>
                </c:pt>
                <c:pt idx="3">
                  <c:v>50</c:v>
                </c:pt>
                <c:pt idx="4">
                  <c:v>60</c:v>
                </c:pt>
              </c:numCache>
            </c:numRef>
          </c:xVal>
          <c:yVal>
            <c:numRef>
              <c:f>'Clustering thresholds'!$B$21:$F$21</c:f>
              <c:numCache>
                <c:formatCode>General</c:formatCode>
                <c:ptCount val="5"/>
                <c:pt idx="0">
                  <c:v>1848</c:v>
                </c:pt>
                <c:pt idx="1">
                  <c:v>2252</c:v>
                </c:pt>
                <c:pt idx="2">
                  <c:v>2609</c:v>
                </c:pt>
                <c:pt idx="3">
                  <c:v>2383</c:v>
                </c:pt>
                <c:pt idx="4">
                  <c:v>1749</c:v>
                </c:pt>
              </c:numCache>
            </c:numRef>
          </c:yVal>
          <c:smooth val="0"/>
          <c:extLst>
            <c:ext xmlns:c16="http://schemas.microsoft.com/office/drawing/2014/chart" uri="{C3380CC4-5D6E-409C-BE32-E72D297353CC}">
              <c16:uniqueId val="{00000001-1A6C-4E04-8617-A32AEFF40C56}"/>
            </c:ext>
          </c:extLst>
        </c:ser>
        <c:ser>
          <c:idx val="2"/>
          <c:order val="2"/>
          <c:tx>
            <c:strRef>
              <c:f>'Clustering thresholds'!$A$22</c:f>
              <c:strCache>
                <c:ptCount val="1"/>
                <c:pt idx="0">
                  <c:v>50</c:v>
                </c:pt>
              </c:strCache>
            </c:strRef>
          </c:tx>
          <c:spPr>
            <a:ln w="28800">
              <a:solidFill>
                <a:srgbClr val="FFD320"/>
              </a:solidFill>
              <a:round/>
            </a:ln>
          </c:spPr>
          <c:marker>
            <c:symbol val="triangle"/>
            <c:size val="8"/>
            <c:spPr>
              <a:solidFill>
                <a:srgbClr val="FFD320"/>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thresholds'!$B$19:$F$19</c:f>
              <c:numCache>
                <c:formatCode>General</c:formatCode>
                <c:ptCount val="5"/>
                <c:pt idx="0">
                  <c:v>20</c:v>
                </c:pt>
                <c:pt idx="1">
                  <c:v>30</c:v>
                </c:pt>
                <c:pt idx="2">
                  <c:v>40</c:v>
                </c:pt>
                <c:pt idx="3">
                  <c:v>50</c:v>
                </c:pt>
                <c:pt idx="4">
                  <c:v>60</c:v>
                </c:pt>
              </c:numCache>
            </c:numRef>
          </c:xVal>
          <c:yVal>
            <c:numRef>
              <c:f>'Clustering thresholds'!$B$22:$F$22</c:f>
              <c:numCache>
                <c:formatCode>General</c:formatCode>
                <c:ptCount val="5"/>
                <c:pt idx="0">
                  <c:v>2083</c:v>
                </c:pt>
                <c:pt idx="1">
                  <c:v>2489</c:v>
                </c:pt>
                <c:pt idx="2">
                  <c:v>2713</c:v>
                </c:pt>
                <c:pt idx="3">
                  <c:v>2368</c:v>
                </c:pt>
                <c:pt idx="4">
                  <c:v>1736</c:v>
                </c:pt>
              </c:numCache>
            </c:numRef>
          </c:yVal>
          <c:smooth val="0"/>
          <c:extLst>
            <c:ext xmlns:c16="http://schemas.microsoft.com/office/drawing/2014/chart" uri="{C3380CC4-5D6E-409C-BE32-E72D297353CC}">
              <c16:uniqueId val="{00000002-1A6C-4E04-8617-A32AEFF40C56}"/>
            </c:ext>
          </c:extLst>
        </c:ser>
        <c:ser>
          <c:idx val="3"/>
          <c:order val="3"/>
          <c:tx>
            <c:strRef>
              <c:f>'Clustering thresholds'!$A$23</c:f>
              <c:strCache>
                <c:ptCount val="1"/>
                <c:pt idx="0">
                  <c:v>60</c:v>
                </c:pt>
              </c:strCache>
            </c:strRef>
          </c:tx>
          <c:spPr>
            <a:ln w="28800">
              <a:solidFill>
                <a:srgbClr val="579D1C"/>
              </a:solidFill>
              <a:round/>
            </a:ln>
          </c:spPr>
          <c:marker>
            <c:symbol val="triangle"/>
            <c:size val="8"/>
            <c:spPr>
              <a:solidFill>
                <a:srgbClr val="579D1C"/>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thresholds'!$B$19:$F$19</c:f>
              <c:numCache>
                <c:formatCode>General</c:formatCode>
                <c:ptCount val="5"/>
                <c:pt idx="0">
                  <c:v>20</c:v>
                </c:pt>
                <c:pt idx="1">
                  <c:v>30</c:v>
                </c:pt>
                <c:pt idx="2">
                  <c:v>40</c:v>
                </c:pt>
                <c:pt idx="3">
                  <c:v>50</c:v>
                </c:pt>
                <c:pt idx="4">
                  <c:v>60</c:v>
                </c:pt>
              </c:numCache>
            </c:numRef>
          </c:xVal>
          <c:yVal>
            <c:numRef>
              <c:f>'Clustering thresholds'!$B$23:$F$23</c:f>
              <c:numCache>
                <c:formatCode>General</c:formatCode>
                <c:ptCount val="5"/>
                <c:pt idx="0">
                  <c:v>2215</c:v>
                </c:pt>
                <c:pt idx="1">
                  <c:v>2624</c:v>
                </c:pt>
                <c:pt idx="2">
                  <c:v>2757</c:v>
                </c:pt>
                <c:pt idx="3">
                  <c:v>2393</c:v>
                </c:pt>
                <c:pt idx="4">
                  <c:v>1722</c:v>
                </c:pt>
              </c:numCache>
            </c:numRef>
          </c:yVal>
          <c:smooth val="0"/>
          <c:extLst>
            <c:ext xmlns:c16="http://schemas.microsoft.com/office/drawing/2014/chart" uri="{C3380CC4-5D6E-409C-BE32-E72D297353CC}">
              <c16:uniqueId val="{00000003-1A6C-4E04-8617-A32AEFF40C56}"/>
            </c:ext>
          </c:extLst>
        </c:ser>
        <c:ser>
          <c:idx val="4"/>
          <c:order val="4"/>
          <c:tx>
            <c:strRef>
              <c:f>'Clustering thresholds'!$A$24</c:f>
              <c:strCache>
                <c:ptCount val="1"/>
                <c:pt idx="0">
                  <c:v>70</c:v>
                </c:pt>
              </c:strCache>
            </c:strRef>
          </c:tx>
          <c:spPr>
            <a:ln w="28800">
              <a:solidFill>
                <a:srgbClr val="7E0021"/>
              </a:solidFill>
              <a:round/>
            </a:ln>
          </c:spPr>
          <c:marker>
            <c:symbol val="triangle"/>
            <c:size val="8"/>
            <c:spPr>
              <a:solidFill>
                <a:srgbClr val="7E0021"/>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thresholds'!$B$19:$F$19</c:f>
              <c:numCache>
                <c:formatCode>General</c:formatCode>
                <c:ptCount val="5"/>
                <c:pt idx="0">
                  <c:v>20</c:v>
                </c:pt>
                <c:pt idx="1">
                  <c:v>30</c:v>
                </c:pt>
                <c:pt idx="2">
                  <c:v>40</c:v>
                </c:pt>
                <c:pt idx="3">
                  <c:v>50</c:v>
                </c:pt>
                <c:pt idx="4">
                  <c:v>60</c:v>
                </c:pt>
              </c:numCache>
            </c:numRef>
          </c:xVal>
          <c:yVal>
            <c:numRef>
              <c:f>'Clustering thresholds'!$B$24:$F$24</c:f>
              <c:numCache>
                <c:formatCode>General</c:formatCode>
                <c:ptCount val="5"/>
                <c:pt idx="0">
                  <c:v>2338</c:v>
                </c:pt>
                <c:pt idx="1">
                  <c:v>2664</c:v>
                </c:pt>
                <c:pt idx="2">
                  <c:v>2746</c:v>
                </c:pt>
                <c:pt idx="3">
                  <c:v>2361</c:v>
                </c:pt>
                <c:pt idx="4">
                  <c:v>1718</c:v>
                </c:pt>
              </c:numCache>
            </c:numRef>
          </c:yVal>
          <c:smooth val="0"/>
          <c:extLst>
            <c:ext xmlns:c16="http://schemas.microsoft.com/office/drawing/2014/chart" uri="{C3380CC4-5D6E-409C-BE32-E72D297353CC}">
              <c16:uniqueId val="{00000004-1A6C-4E04-8617-A32AEFF40C56}"/>
            </c:ext>
          </c:extLst>
        </c:ser>
        <c:dLbls>
          <c:showLegendKey val="0"/>
          <c:showVal val="0"/>
          <c:showCatName val="0"/>
          <c:showSerName val="0"/>
          <c:showPercent val="0"/>
          <c:showBubbleSize val="0"/>
        </c:dLbls>
        <c:axId val="65330994"/>
        <c:axId val="54538281"/>
      </c:scatterChart>
      <c:valAx>
        <c:axId val="65330994"/>
        <c:scaling>
          <c:orientation val="minMax"/>
          <c:max val="60"/>
          <c:min val="20"/>
        </c:scaling>
        <c:delete val="0"/>
        <c:axPos val="b"/>
        <c:title>
          <c:tx>
            <c:rich>
              <a:bodyPr rot="0"/>
              <a:lstStyle/>
              <a:p>
                <a:pPr>
                  <a:defRPr lang="en-GB" sz="1000" b="1" strike="noStrike" spc="-1">
                    <a:solidFill>
                      <a:srgbClr val="000000"/>
                    </a:solidFill>
                    <a:latin typeface="Aptos Narrow"/>
                  </a:defRPr>
                </a:pPr>
                <a:r>
                  <a:rPr lang="en-GB" sz="1000" b="1" strike="noStrike" spc="-1">
                    <a:solidFill>
                      <a:srgbClr val="000000"/>
                    </a:solidFill>
                    <a:latin typeface="Aptos Narrow"/>
                  </a:rPr>
                  <a:t>Coverage %</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Arial"/>
              </a:defRPr>
            </a:pPr>
            <a:endParaRPr lang="en-BE"/>
          </a:p>
        </c:txPr>
        <c:crossAx val="54538281"/>
        <c:crosses val="autoZero"/>
        <c:crossBetween val="midCat"/>
      </c:valAx>
      <c:valAx>
        <c:axId val="54538281"/>
        <c:scaling>
          <c:orientation val="minMax"/>
        </c:scaling>
        <c:delete val="0"/>
        <c:axPos val="l"/>
        <c:majorGridlines>
          <c:spPr>
            <a:ln w="0">
              <a:solidFill>
                <a:srgbClr val="B3B3B3"/>
              </a:solidFill>
            </a:ln>
          </c:spPr>
        </c:majorGridlines>
        <c:title>
          <c:tx>
            <c:rich>
              <a:bodyPr rot="-5400000"/>
              <a:lstStyle/>
              <a:p>
                <a:pPr>
                  <a:defRPr lang="en-GB" sz="1000" b="1" strike="noStrike" spc="-1">
                    <a:solidFill>
                      <a:srgbClr val="000000"/>
                    </a:solidFill>
                    <a:latin typeface="Aptos Narrow"/>
                  </a:defRPr>
                </a:pPr>
                <a:r>
                  <a:rPr lang="en-GB" sz="1000" b="1" strike="noStrike" spc="-1">
                    <a:solidFill>
                      <a:srgbClr val="000000"/>
                    </a:solidFill>
                    <a:latin typeface="Aptos Narrow"/>
                  </a:rPr>
                  <a:t># accessory families</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Arial"/>
              </a:defRPr>
            </a:pPr>
            <a:endParaRPr lang="en-BE"/>
          </a:p>
        </c:txPr>
        <c:crossAx val="65330994"/>
        <c:crosses val="autoZero"/>
        <c:crossBetween val="midCat"/>
      </c:valAx>
      <c:spPr>
        <a:noFill/>
        <a:ln w="0">
          <a:solidFill>
            <a:srgbClr val="B3B3B3"/>
          </a:solidFill>
        </a:ln>
      </c:spPr>
    </c:plotArea>
    <c:legend>
      <c:legendPos val="r"/>
      <c:overlay val="0"/>
      <c:spPr>
        <a:noFill/>
        <a:ln w="0">
          <a:noFill/>
        </a:ln>
      </c:spPr>
      <c:txPr>
        <a:bodyPr/>
        <a:lstStyle/>
        <a:p>
          <a:pPr>
            <a:defRPr sz="1000" b="0" strike="noStrike" spc="-1">
              <a:solidFill>
                <a:srgbClr val="000000"/>
              </a:solidFill>
              <a:latin typeface="Arial"/>
            </a:defRPr>
          </a:pPr>
          <a:endParaRPr lang="en-BE"/>
        </a:p>
      </c:txPr>
    </c:legend>
    <c:plotVisOnly val="1"/>
    <c:dispBlanksAs val="span"/>
    <c:showDLblsOverMax val="1"/>
  </c:chart>
  <c:spPr>
    <a:solidFill>
      <a:srgbClr val="FFFFFF"/>
    </a:solidFill>
    <a:ln w="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GB" sz="1300" b="0" strike="noStrike" spc="-1">
                <a:solidFill>
                  <a:srgbClr val="000000"/>
                </a:solidFill>
                <a:latin typeface="Arial"/>
              </a:defRPr>
            </a:pPr>
            <a:r>
              <a:rPr lang="en-GB" sz="1300" b="0" strike="noStrike" spc="-1">
                <a:solidFill>
                  <a:srgbClr val="000000"/>
                </a:solidFill>
                <a:latin typeface="Arial"/>
              </a:rPr>
              <a:t>Constant identity %</a:t>
            </a:r>
          </a:p>
        </c:rich>
      </c:tx>
      <c:overlay val="0"/>
      <c:spPr>
        <a:noFill/>
        <a:ln w="0">
          <a:noFill/>
        </a:ln>
      </c:spPr>
    </c:title>
    <c:autoTitleDeleted val="0"/>
    <c:plotArea>
      <c:layout/>
      <c:scatterChart>
        <c:scatterStyle val="lineMarker"/>
        <c:varyColors val="0"/>
        <c:ser>
          <c:idx val="0"/>
          <c:order val="0"/>
          <c:tx>
            <c:strRef>
              <c:f>'Clustering thresholds'!$A$36</c:f>
              <c:strCache>
                <c:ptCount val="1"/>
                <c:pt idx="0">
                  <c:v>30</c:v>
                </c:pt>
              </c:strCache>
            </c:strRef>
          </c:tx>
          <c:spPr>
            <a:ln w="28800">
              <a:solidFill>
                <a:srgbClr val="004586"/>
              </a:solidFill>
              <a:round/>
            </a:ln>
          </c:spPr>
          <c:marker>
            <c:symbol val="square"/>
            <c:size val="8"/>
            <c:spPr>
              <a:solidFill>
                <a:srgbClr val="004586"/>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thresholds'!$B$35:$F$35</c:f>
              <c:numCache>
                <c:formatCode>General</c:formatCode>
                <c:ptCount val="5"/>
                <c:pt idx="0">
                  <c:v>20</c:v>
                </c:pt>
                <c:pt idx="1">
                  <c:v>30</c:v>
                </c:pt>
                <c:pt idx="2">
                  <c:v>40</c:v>
                </c:pt>
                <c:pt idx="3">
                  <c:v>50</c:v>
                </c:pt>
                <c:pt idx="4">
                  <c:v>60</c:v>
                </c:pt>
              </c:numCache>
            </c:numRef>
          </c:xVal>
          <c:yVal>
            <c:numRef>
              <c:f>'Clustering thresholds'!$B$36:$F$36</c:f>
              <c:numCache>
                <c:formatCode>General</c:formatCode>
                <c:ptCount val="5"/>
                <c:pt idx="0">
                  <c:v>181522</c:v>
                </c:pt>
                <c:pt idx="1">
                  <c:v>226413</c:v>
                </c:pt>
                <c:pt idx="2">
                  <c:v>379165</c:v>
                </c:pt>
                <c:pt idx="3">
                  <c:v>637713</c:v>
                </c:pt>
                <c:pt idx="4">
                  <c:v>1002524</c:v>
                </c:pt>
              </c:numCache>
            </c:numRef>
          </c:yVal>
          <c:smooth val="0"/>
          <c:extLst>
            <c:ext xmlns:c16="http://schemas.microsoft.com/office/drawing/2014/chart" uri="{C3380CC4-5D6E-409C-BE32-E72D297353CC}">
              <c16:uniqueId val="{00000000-4EBF-4700-8DDA-5D9FDA66C2EB}"/>
            </c:ext>
          </c:extLst>
        </c:ser>
        <c:ser>
          <c:idx val="1"/>
          <c:order val="1"/>
          <c:tx>
            <c:strRef>
              <c:f>'Clustering thresholds'!$A$37</c:f>
              <c:strCache>
                <c:ptCount val="1"/>
                <c:pt idx="0">
                  <c:v>40</c:v>
                </c:pt>
              </c:strCache>
            </c:strRef>
          </c:tx>
          <c:spPr>
            <a:ln w="28800">
              <a:solidFill>
                <a:srgbClr val="FF420E"/>
              </a:solidFill>
              <a:round/>
            </a:ln>
          </c:spPr>
          <c:marker>
            <c:symbol val="diamond"/>
            <c:size val="8"/>
            <c:spPr>
              <a:solidFill>
                <a:srgbClr val="FF420E"/>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thresholds'!$B$35:$F$35</c:f>
              <c:numCache>
                <c:formatCode>General</c:formatCode>
                <c:ptCount val="5"/>
                <c:pt idx="0">
                  <c:v>20</c:v>
                </c:pt>
                <c:pt idx="1">
                  <c:v>30</c:v>
                </c:pt>
                <c:pt idx="2">
                  <c:v>40</c:v>
                </c:pt>
                <c:pt idx="3">
                  <c:v>50</c:v>
                </c:pt>
                <c:pt idx="4">
                  <c:v>60</c:v>
                </c:pt>
              </c:numCache>
            </c:numRef>
          </c:xVal>
          <c:yVal>
            <c:numRef>
              <c:f>'Clustering thresholds'!$B$37:$F$37</c:f>
              <c:numCache>
                <c:formatCode>General</c:formatCode>
                <c:ptCount val="5"/>
                <c:pt idx="0">
                  <c:v>188994</c:v>
                </c:pt>
                <c:pt idx="1">
                  <c:v>236599</c:v>
                </c:pt>
                <c:pt idx="2">
                  <c:v>395815</c:v>
                </c:pt>
                <c:pt idx="3">
                  <c:v>653471</c:v>
                </c:pt>
                <c:pt idx="4">
                  <c:v>1013463</c:v>
                </c:pt>
              </c:numCache>
            </c:numRef>
          </c:yVal>
          <c:smooth val="0"/>
          <c:extLst>
            <c:ext xmlns:c16="http://schemas.microsoft.com/office/drawing/2014/chart" uri="{C3380CC4-5D6E-409C-BE32-E72D297353CC}">
              <c16:uniqueId val="{00000001-4EBF-4700-8DDA-5D9FDA66C2EB}"/>
            </c:ext>
          </c:extLst>
        </c:ser>
        <c:ser>
          <c:idx val="2"/>
          <c:order val="2"/>
          <c:tx>
            <c:strRef>
              <c:f>'Clustering thresholds'!$A$38</c:f>
              <c:strCache>
                <c:ptCount val="1"/>
                <c:pt idx="0">
                  <c:v>50</c:v>
                </c:pt>
              </c:strCache>
            </c:strRef>
          </c:tx>
          <c:spPr>
            <a:ln w="28800">
              <a:solidFill>
                <a:srgbClr val="FFD320"/>
              </a:solidFill>
              <a:round/>
            </a:ln>
          </c:spPr>
          <c:marker>
            <c:symbol val="triangle"/>
            <c:size val="8"/>
            <c:spPr>
              <a:solidFill>
                <a:srgbClr val="FFD320"/>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thresholds'!$B$35:$F$35</c:f>
              <c:numCache>
                <c:formatCode>General</c:formatCode>
                <c:ptCount val="5"/>
                <c:pt idx="0">
                  <c:v>20</c:v>
                </c:pt>
                <c:pt idx="1">
                  <c:v>30</c:v>
                </c:pt>
                <c:pt idx="2">
                  <c:v>40</c:v>
                </c:pt>
                <c:pt idx="3">
                  <c:v>50</c:v>
                </c:pt>
                <c:pt idx="4">
                  <c:v>60</c:v>
                </c:pt>
              </c:numCache>
            </c:numRef>
          </c:xVal>
          <c:yVal>
            <c:numRef>
              <c:f>'Clustering thresholds'!$B$38:$F$38</c:f>
              <c:numCache>
                <c:formatCode>General</c:formatCode>
                <c:ptCount val="5"/>
                <c:pt idx="0">
                  <c:v>197558</c:v>
                </c:pt>
                <c:pt idx="1">
                  <c:v>247452</c:v>
                </c:pt>
                <c:pt idx="2">
                  <c:v>410111</c:v>
                </c:pt>
                <c:pt idx="3">
                  <c:v>666178</c:v>
                </c:pt>
                <c:pt idx="4">
                  <c:v>1022450</c:v>
                </c:pt>
              </c:numCache>
            </c:numRef>
          </c:yVal>
          <c:smooth val="0"/>
          <c:extLst>
            <c:ext xmlns:c16="http://schemas.microsoft.com/office/drawing/2014/chart" uri="{C3380CC4-5D6E-409C-BE32-E72D297353CC}">
              <c16:uniqueId val="{00000002-4EBF-4700-8DDA-5D9FDA66C2EB}"/>
            </c:ext>
          </c:extLst>
        </c:ser>
        <c:ser>
          <c:idx val="3"/>
          <c:order val="3"/>
          <c:tx>
            <c:strRef>
              <c:f>'Clustering thresholds'!$A$39</c:f>
              <c:strCache>
                <c:ptCount val="1"/>
                <c:pt idx="0">
                  <c:v>60</c:v>
                </c:pt>
              </c:strCache>
            </c:strRef>
          </c:tx>
          <c:spPr>
            <a:ln w="28800">
              <a:solidFill>
                <a:srgbClr val="579D1C"/>
              </a:solidFill>
              <a:round/>
            </a:ln>
          </c:spPr>
          <c:marker>
            <c:symbol val="triangle"/>
            <c:size val="8"/>
            <c:spPr>
              <a:solidFill>
                <a:srgbClr val="579D1C"/>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thresholds'!$B$35:$F$35</c:f>
              <c:numCache>
                <c:formatCode>General</c:formatCode>
                <c:ptCount val="5"/>
                <c:pt idx="0">
                  <c:v>20</c:v>
                </c:pt>
                <c:pt idx="1">
                  <c:v>30</c:v>
                </c:pt>
                <c:pt idx="2">
                  <c:v>40</c:v>
                </c:pt>
                <c:pt idx="3">
                  <c:v>50</c:v>
                </c:pt>
                <c:pt idx="4">
                  <c:v>60</c:v>
                </c:pt>
              </c:numCache>
            </c:numRef>
          </c:xVal>
          <c:yVal>
            <c:numRef>
              <c:f>'Clustering thresholds'!$B$39:$F$39</c:f>
              <c:numCache>
                <c:formatCode>General</c:formatCode>
                <c:ptCount val="5"/>
                <c:pt idx="0">
                  <c:v>210057</c:v>
                </c:pt>
                <c:pt idx="1">
                  <c:v>261662</c:v>
                </c:pt>
                <c:pt idx="2">
                  <c:v>425393</c:v>
                </c:pt>
                <c:pt idx="3">
                  <c:v>679770</c:v>
                </c:pt>
                <c:pt idx="4">
                  <c:v>1032557</c:v>
                </c:pt>
              </c:numCache>
            </c:numRef>
          </c:yVal>
          <c:smooth val="0"/>
          <c:extLst>
            <c:ext xmlns:c16="http://schemas.microsoft.com/office/drawing/2014/chart" uri="{C3380CC4-5D6E-409C-BE32-E72D297353CC}">
              <c16:uniqueId val="{00000003-4EBF-4700-8DDA-5D9FDA66C2EB}"/>
            </c:ext>
          </c:extLst>
        </c:ser>
        <c:ser>
          <c:idx val="4"/>
          <c:order val="4"/>
          <c:tx>
            <c:strRef>
              <c:f>'Clustering thresholds'!$A$40</c:f>
              <c:strCache>
                <c:ptCount val="1"/>
                <c:pt idx="0">
                  <c:v>70</c:v>
                </c:pt>
              </c:strCache>
            </c:strRef>
          </c:tx>
          <c:spPr>
            <a:ln w="28800">
              <a:solidFill>
                <a:srgbClr val="7E0021"/>
              </a:solidFill>
              <a:round/>
            </a:ln>
          </c:spPr>
          <c:marker>
            <c:symbol val="triangle"/>
            <c:size val="8"/>
            <c:spPr>
              <a:solidFill>
                <a:srgbClr val="7E0021"/>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thresholds'!$B$35:$F$35</c:f>
              <c:numCache>
                <c:formatCode>General</c:formatCode>
                <c:ptCount val="5"/>
                <c:pt idx="0">
                  <c:v>20</c:v>
                </c:pt>
                <c:pt idx="1">
                  <c:v>30</c:v>
                </c:pt>
                <c:pt idx="2">
                  <c:v>40</c:v>
                </c:pt>
                <c:pt idx="3">
                  <c:v>50</c:v>
                </c:pt>
                <c:pt idx="4">
                  <c:v>60</c:v>
                </c:pt>
              </c:numCache>
            </c:numRef>
          </c:xVal>
          <c:yVal>
            <c:numRef>
              <c:f>'Clustering thresholds'!$B$40:$F$40</c:f>
              <c:numCache>
                <c:formatCode>General</c:formatCode>
                <c:ptCount val="5"/>
                <c:pt idx="0">
                  <c:v>227141</c:v>
                </c:pt>
                <c:pt idx="1">
                  <c:v>280075</c:v>
                </c:pt>
                <c:pt idx="2">
                  <c:v>443756</c:v>
                </c:pt>
                <c:pt idx="3">
                  <c:v>695562</c:v>
                </c:pt>
                <c:pt idx="4">
                  <c:v>1043886</c:v>
                </c:pt>
              </c:numCache>
            </c:numRef>
          </c:yVal>
          <c:smooth val="0"/>
          <c:extLst>
            <c:ext xmlns:c16="http://schemas.microsoft.com/office/drawing/2014/chart" uri="{C3380CC4-5D6E-409C-BE32-E72D297353CC}">
              <c16:uniqueId val="{00000004-4EBF-4700-8DDA-5D9FDA66C2EB}"/>
            </c:ext>
          </c:extLst>
        </c:ser>
        <c:dLbls>
          <c:showLegendKey val="0"/>
          <c:showVal val="0"/>
          <c:showCatName val="0"/>
          <c:showSerName val="0"/>
          <c:showPercent val="0"/>
          <c:showBubbleSize val="0"/>
        </c:dLbls>
        <c:axId val="86642564"/>
        <c:axId val="93112418"/>
      </c:scatterChart>
      <c:valAx>
        <c:axId val="86642564"/>
        <c:scaling>
          <c:orientation val="minMax"/>
          <c:max val="60"/>
          <c:min val="20"/>
        </c:scaling>
        <c:delete val="0"/>
        <c:axPos val="b"/>
        <c:title>
          <c:tx>
            <c:rich>
              <a:bodyPr rot="0"/>
              <a:lstStyle/>
              <a:p>
                <a:pPr>
                  <a:defRPr lang="en-GB" sz="1000" b="1" strike="noStrike" spc="-1">
                    <a:solidFill>
                      <a:srgbClr val="000000"/>
                    </a:solidFill>
                    <a:latin typeface="Aptos Narrow"/>
                  </a:defRPr>
                </a:pPr>
                <a:r>
                  <a:rPr lang="en-GB" sz="1000" b="1" strike="noStrike" spc="-1">
                    <a:solidFill>
                      <a:srgbClr val="000000"/>
                    </a:solidFill>
                    <a:latin typeface="Aptos Narrow"/>
                  </a:rPr>
                  <a:t>Coverage %</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Arial"/>
              </a:defRPr>
            </a:pPr>
            <a:endParaRPr lang="en-BE"/>
          </a:p>
        </c:txPr>
        <c:crossAx val="93112418"/>
        <c:crosses val="autoZero"/>
        <c:crossBetween val="midCat"/>
      </c:valAx>
      <c:valAx>
        <c:axId val="93112418"/>
        <c:scaling>
          <c:orientation val="minMax"/>
        </c:scaling>
        <c:delete val="0"/>
        <c:axPos val="l"/>
        <c:majorGridlines>
          <c:spPr>
            <a:ln w="0">
              <a:solidFill>
                <a:srgbClr val="B3B3B3"/>
              </a:solidFill>
            </a:ln>
          </c:spPr>
        </c:majorGridlines>
        <c:title>
          <c:tx>
            <c:rich>
              <a:bodyPr rot="-5400000"/>
              <a:lstStyle/>
              <a:p>
                <a:pPr>
                  <a:defRPr lang="en-GB" sz="1000" b="1" strike="noStrike" spc="-1">
                    <a:solidFill>
                      <a:srgbClr val="000000"/>
                    </a:solidFill>
                    <a:latin typeface="Aptos Narrow"/>
                  </a:defRPr>
                </a:pPr>
                <a:r>
                  <a:rPr lang="en-GB" sz="1000" b="1" strike="noStrike" spc="-1">
                    <a:solidFill>
                      <a:srgbClr val="000000"/>
                    </a:solidFill>
                    <a:latin typeface="Aptos Narrow"/>
                  </a:rPr>
                  <a:t># unique families</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Arial"/>
              </a:defRPr>
            </a:pPr>
            <a:endParaRPr lang="en-BE"/>
          </a:p>
        </c:txPr>
        <c:crossAx val="86642564"/>
        <c:crosses val="autoZero"/>
        <c:crossBetween val="midCat"/>
      </c:valAx>
      <c:spPr>
        <a:noFill/>
        <a:ln w="0">
          <a:solidFill>
            <a:srgbClr val="B3B3B3"/>
          </a:solidFill>
        </a:ln>
      </c:spPr>
    </c:plotArea>
    <c:legend>
      <c:legendPos val="r"/>
      <c:overlay val="0"/>
      <c:spPr>
        <a:noFill/>
        <a:ln w="0">
          <a:noFill/>
        </a:ln>
      </c:spPr>
      <c:txPr>
        <a:bodyPr/>
        <a:lstStyle/>
        <a:p>
          <a:pPr>
            <a:defRPr sz="1000" b="0" strike="noStrike" spc="-1">
              <a:solidFill>
                <a:srgbClr val="000000"/>
              </a:solidFill>
              <a:latin typeface="Arial"/>
            </a:defRPr>
          </a:pPr>
          <a:endParaRPr lang="en-BE"/>
        </a:p>
      </c:txPr>
    </c:legend>
    <c:plotVisOnly val="1"/>
    <c:dispBlanksAs val="span"/>
    <c:showDLblsOverMax val="1"/>
  </c:chart>
  <c:spPr>
    <a:solidFill>
      <a:srgbClr val="FFFFFF"/>
    </a:solidFill>
    <a:ln w="0">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GB" sz="1300" b="0" strike="noStrike" spc="-1">
                <a:solidFill>
                  <a:srgbClr val="000000"/>
                </a:solidFill>
                <a:latin typeface="Arial"/>
              </a:defRPr>
            </a:pPr>
            <a:r>
              <a:rPr lang="en-GB" sz="1300" b="0" strike="noStrike" spc="-1">
                <a:solidFill>
                  <a:srgbClr val="000000"/>
                </a:solidFill>
                <a:latin typeface="Arial"/>
              </a:rPr>
              <a:t>Constant coverage %</a:t>
            </a:r>
          </a:p>
        </c:rich>
      </c:tx>
      <c:overlay val="0"/>
      <c:spPr>
        <a:noFill/>
        <a:ln w="0">
          <a:noFill/>
        </a:ln>
      </c:spPr>
    </c:title>
    <c:autoTitleDeleted val="0"/>
    <c:plotArea>
      <c:layout/>
      <c:scatterChart>
        <c:scatterStyle val="lineMarker"/>
        <c:varyColors val="0"/>
        <c:ser>
          <c:idx val="0"/>
          <c:order val="0"/>
          <c:tx>
            <c:strRef>
              <c:f>'Clustering thresholds'!$B$6</c:f>
              <c:strCache>
                <c:ptCount val="1"/>
                <c:pt idx="0">
                  <c:v>20</c:v>
                </c:pt>
              </c:strCache>
            </c:strRef>
          </c:tx>
          <c:spPr>
            <a:ln w="28800">
              <a:solidFill>
                <a:srgbClr val="004586"/>
              </a:solidFill>
              <a:round/>
            </a:ln>
          </c:spPr>
          <c:marker>
            <c:symbol val="square"/>
            <c:size val="8"/>
            <c:spPr>
              <a:solidFill>
                <a:srgbClr val="004586"/>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thresholds'!$A$7:$A$11</c:f>
              <c:numCache>
                <c:formatCode>General</c:formatCode>
                <c:ptCount val="5"/>
                <c:pt idx="0">
                  <c:v>30</c:v>
                </c:pt>
                <c:pt idx="1">
                  <c:v>40</c:v>
                </c:pt>
                <c:pt idx="2">
                  <c:v>50</c:v>
                </c:pt>
                <c:pt idx="3">
                  <c:v>60</c:v>
                </c:pt>
                <c:pt idx="4">
                  <c:v>70</c:v>
                </c:pt>
              </c:numCache>
            </c:numRef>
          </c:xVal>
          <c:yVal>
            <c:numRef>
              <c:f>'Clustering thresholds'!$B$7:$B$11</c:f>
              <c:numCache>
                <c:formatCode>General</c:formatCode>
                <c:ptCount val="5"/>
                <c:pt idx="0">
                  <c:v>361</c:v>
                </c:pt>
                <c:pt idx="1">
                  <c:v>423</c:v>
                </c:pt>
                <c:pt idx="2">
                  <c:v>481</c:v>
                </c:pt>
                <c:pt idx="3">
                  <c:v>491</c:v>
                </c:pt>
                <c:pt idx="4">
                  <c:v>484</c:v>
                </c:pt>
              </c:numCache>
            </c:numRef>
          </c:yVal>
          <c:smooth val="0"/>
          <c:extLst>
            <c:ext xmlns:c16="http://schemas.microsoft.com/office/drawing/2014/chart" uri="{C3380CC4-5D6E-409C-BE32-E72D297353CC}">
              <c16:uniqueId val="{00000000-ACFA-4F3C-BE7E-334AA35BC31B}"/>
            </c:ext>
          </c:extLst>
        </c:ser>
        <c:ser>
          <c:idx val="1"/>
          <c:order val="1"/>
          <c:tx>
            <c:strRef>
              <c:f>'Clustering thresholds'!$C$6</c:f>
              <c:strCache>
                <c:ptCount val="1"/>
                <c:pt idx="0">
                  <c:v>30</c:v>
                </c:pt>
              </c:strCache>
            </c:strRef>
          </c:tx>
          <c:spPr>
            <a:ln w="28800">
              <a:solidFill>
                <a:srgbClr val="FF420E"/>
              </a:solidFill>
              <a:round/>
            </a:ln>
          </c:spPr>
          <c:marker>
            <c:symbol val="diamond"/>
            <c:size val="8"/>
            <c:spPr>
              <a:solidFill>
                <a:srgbClr val="FF420E"/>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thresholds'!$A$7:$A$11</c:f>
              <c:numCache>
                <c:formatCode>General</c:formatCode>
                <c:ptCount val="5"/>
                <c:pt idx="0">
                  <c:v>30</c:v>
                </c:pt>
                <c:pt idx="1">
                  <c:v>40</c:v>
                </c:pt>
                <c:pt idx="2">
                  <c:v>50</c:v>
                </c:pt>
                <c:pt idx="3">
                  <c:v>60</c:v>
                </c:pt>
                <c:pt idx="4">
                  <c:v>70</c:v>
                </c:pt>
              </c:numCache>
            </c:numRef>
          </c:xVal>
          <c:yVal>
            <c:numRef>
              <c:f>'Clustering thresholds'!$C$7:$C$11</c:f>
              <c:numCache>
                <c:formatCode>General</c:formatCode>
                <c:ptCount val="5"/>
                <c:pt idx="0">
                  <c:v>400</c:v>
                </c:pt>
                <c:pt idx="1">
                  <c:v>446</c:v>
                </c:pt>
                <c:pt idx="2">
                  <c:v>462</c:v>
                </c:pt>
                <c:pt idx="3">
                  <c:v>454</c:v>
                </c:pt>
                <c:pt idx="4">
                  <c:v>446</c:v>
                </c:pt>
              </c:numCache>
            </c:numRef>
          </c:yVal>
          <c:smooth val="0"/>
          <c:extLst>
            <c:ext xmlns:c16="http://schemas.microsoft.com/office/drawing/2014/chart" uri="{C3380CC4-5D6E-409C-BE32-E72D297353CC}">
              <c16:uniqueId val="{00000001-ACFA-4F3C-BE7E-334AA35BC31B}"/>
            </c:ext>
          </c:extLst>
        </c:ser>
        <c:ser>
          <c:idx val="2"/>
          <c:order val="2"/>
          <c:tx>
            <c:strRef>
              <c:f>'Clustering thresholds'!$D$6</c:f>
              <c:strCache>
                <c:ptCount val="1"/>
                <c:pt idx="0">
                  <c:v>40</c:v>
                </c:pt>
              </c:strCache>
            </c:strRef>
          </c:tx>
          <c:spPr>
            <a:ln w="28800">
              <a:solidFill>
                <a:srgbClr val="FFD320"/>
              </a:solidFill>
              <a:round/>
            </a:ln>
          </c:spPr>
          <c:marker>
            <c:symbol val="triangle"/>
            <c:size val="8"/>
            <c:spPr>
              <a:solidFill>
                <a:srgbClr val="FFD320"/>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thresholds'!$A$7:$A$11</c:f>
              <c:numCache>
                <c:formatCode>General</c:formatCode>
                <c:ptCount val="5"/>
                <c:pt idx="0">
                  <c:v>30</c:v>
                </c:pt>
                <c:pt idx="1">
                  <c:v>40</c:v>
                </c:pt>
                <c:pt idx="2">
                  <c:v>50</c:v>
                </c:pt>
                <c:pt idx="3">
                  <c:v>60</c:v>
                </c:pt>
                <c:pt idx="4">
                  <c:v>70</c:v>
                </c:pt>
              </c:numCache>
            </c:numRef>
          </c:xVal>
          <c:yVal>
            <c:numRef>
              <c:f>'Clustering thresholds'!$D$7:$D$11</c:f>
              <c:numCache>
                <c:formatCode>General</c:formatCode>
                <c:ptCount val="5"/>
                <c:pt idx="0">
                  <c:v>352</c:v>
                </c:pt>
                <c:pt idx="1">
                  <c:v>353</c:v>
                </c:pt>
                <c:pt idx="2">
                  <c:v>344</c:v>
                </c:pt>
                <c:pt idx="3">
                  <c:v>338</c:v>
                </c:pt>
                <c:pt idx="4">
                  <c:v>329</c:v>
                </c:pt>
              </c:numCache>
            </c:numRef>
          </c:yVal>
          <c:smooth val="0"/>
          <c:extLst>
            <c:ext xmlns:c16="http://schemas.microsoft.com/office/drawing/2014/chart" uri="{C3380CC4-5D6E-409C-BE32-E72D297353CC}">
              <c16:uniqueId val="{00000002-ACFA-4F3C-BE7E-334AA35BC31B}"/>
            </c:ext>
          </c:extLst>
        </c:ser>
        <c:ser>
          <c:idx val="3"/>
          <c:order val="3"/>
          <c:tx>
            <c:strRef>
              <c:f>'Clustering thresholds'!$E$6</c:f>
              <c:strCache>
                <c:ptCount val="1"/>
                <c:pt idx="0">
                  <c:v>50</c:v>
                </c:pt>
              </c:strCache>
            </c:strRef>
          </c:tx>
          <c:spPr>
            <a:ln w="28800">
              <a:solidFill>
                <a:srgbClr val="579D1C"/>
              </a:solidFill>
              <a:round/>
            </a:ln>
          </c:spPr>
          <c:marker>
            <c:symbol val="triangle"/>
            <c:size val="8"/>
            <c:spPr>
              <a:solidFill>
                <a:srgbClr val="579D1C"/>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thresholds'!$A$7:$A$11</c:f>
              <c:numCache>
                <c:formatCode>General</c:formatCode>
                <c:ptCount val="5"/>
                <c:pt idx="0">
                  <c:v>30</c:v>
                </c:pt>
                <c:pt idx="1">
                  <c:v>40</c:v>
                </c:pt>
                <c:pt idx="2">
                  <c:v>50</c:v>
                </c:pt>
                <c:pt idx="3">
                  <c:v>60</c:v>
                </c:pt>
                <c:pt idx="4">
                  <c:v>70</c:v>
                </c:pt>
              </c:numCache>
            </c:numRef>
          </c:xVal>
          <c:yVal>
            <c:numRef>
              <c:f>'Clustering thresholds'!$E$7:$E$11</c:f>
              <c:numCache>
                <c:formatCode>General</c:formatCode>
                <c:ptCount val="5"/>
                <c:pt idx="0">
                  <c:v>214</c:v>
                </c:pt>
                <c:pt idx="1">
                  <c:v>208</c:v>
                </c:pt>
                <c:pt idx="2">
                  <c:v>207</c:v>
                </c:pt>
                <c:pt idx="3">
                  <c:v>208</c:v>
                </c:pt>
                <c:pt idx="4">
                  <c:v>205</c:v>
                </c:pt>
              </c:numCache>
            </c:numRef>
          </c:yVal>
          <c:smooth val="0"/>
          <c:extLst>
            <c:ext xmlns:c16="http://schemas.microsoft.com/office/drawing/2014/chart" uri="{C3380CC4-5D6E-409C-BE32-E72D297353CC}">
              <c16:uniqueId val="{00000003-ACFA-4F3C-BE7E-334AA35BC31B}"/>
            </c:ext>
          </c:extLst>
        </c:ser>
        <c:ser>
          <c:idx val="4"/>
          <c:order val="4"/>
          <c:tx>
            <c:strRef>
              <c:f>'Clustering thresholds'!$F$6</c:f>
              <c:strCache>
                <c:ptCount val="1"/>
                <c:pt idx="0">
                  <c:v>60</c:v>
                </c:pt>
              </c:strCache>
            </c:strRef>
          </c:tx>
          <c:spPr>
            <a:ln w="28800">
              <a:solidFill>
                <a:srgbClr val="7E0021"/>
              </a:solidFill>
              <a:round/>
            </a:ln>
          </c:spPr>
          <c:marker>
            <c:symbol val="triangle"/>
            <c:size val="8"/>
            <c:spPr>
              <a:solidFill>
                <a:srgbClr val="7E0021"/>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thresholds'!$A$7:$A$11</c:f>
              <c:numCache>
                <c:formatCode>General</c:formatCode>
                <c:ptCount val="5"/>
                <c:pt idx="0">
                  <c:v>30</c:v>
                </c:pt>
                <c:pt idx="1">
                  <c:v>40</c:v>
                </c:pt>
                <c:pt idx="2">
                  <c:v>50</c:v>
                </c:pt>
                <c:pt idx="3">
                  <c:v>60</c:v>
                </c:pt>
                <c:pt idx="4">
                  <c:v>70</c:v>
                </c:pt>
              </c:numCache>
            </c:numRef>
          </c:xVal>
          <c:yVal>
            <c:numRef>
              <c:f>'Clustering thresholds'!$F$7:$F$11</c:f>
              <c:numCache>
                <c:formatCode>General</c:formatCode>
                <c:ptCount val="5"/>
                <c:pt idx="0">
                  <c:v>99</c:v>
                </c:pt>
                <c:pt idx="1">
                  <c:v>98</c:v>
                </c:pt>
                <c:pt idx="2">
                  <c:v>97</c:v>
                </c:pt>
                <c:pt idx="3">
                  <c:v>96</c:v>
                </c:pt>
                <c:pt idx="4">
                  <c:v>94</c:v>
                </c:pt>
              </c:numCache>
            </c:numRef>
          </c:yVal>
          <c:smooth val="0"/>
          <c:extLst>
            <c:ext xmlns:c16="http://schemas.microsoft.com/office/drawing/2014/chart" uri="{C3380CC4-5D6E-409C-BE32-E72D297353CC}">
              <c16:uniqueId val="{00000004-ACFA-4F3C-BE7E-334AA35BC31B}"/>
            </c:ext>
          </c:extLst>
        </c:ser>
        <c:dLbls>
          <c:showLegendKey val="0"/>
          <c:showVal val="0"/>
          <c:showCatName val="0"/>
          <c:showSerName val="0"/>
          <c:showPercent val="0"/>
          <c:showBubbleSize val="0"/>
        </c:dLbls>
        <c:axId val="23101879"/>
        <c:axId val="3627206"/>
      </c:scatterChart>
      <c:valAx>
        <c:axId val="23101879"/>
        <c:scaling>
          <c:orientation val="minMax"/>
          <c:max val="70"/>
          <c:min val="30"/>
        </c:scaling>
        <c:delete val="0"/>
        <c:axPos val="b"/>
        <c:title>
          <c:tx>
            <c:rich>
              <a:bodyPr rot="0"/>
              <a:lstStyle/>
              <a:p>
                <a:pPr>
                  <a:defRPr lang="en-GB" sz="1000" b="1" strike="noStrike" spc="-1">
                    <a:solidFill>
                      <a:srgbClr val="000000"/>
                    </a:solidFill>
                    <a:latin typeface="Aptos Narrow"/>
                  </a:defRPr>
                </a:pPr>
                <a:r>
                  <a:rPr lang="en-GB" sz="1000" b="1" strike="noStrike" spc="-1">
                    <a:solidFill>
                      <a:srgbClr val="000000"/>
                    </a:solidFill>
                    <a:latin typeface="Aptos Narrow"/>
                  </a:rPr>
                  <a:t>Identity %</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Arial"/>
              </a:defRPr>
            </a:pPr>
            <a:endParaRPr lang="en-BE"/>
          </a:p>
        </c:txPr>
        <c:crossAx val="3627206"/>
        <c:crosses val="autoZero"/>
        <c:crossBetween val="midCat"/>
      </c:valAx>
      <c:valAx>
        <c:axId val="3627206"/>
        <c:scaling>
          <c:orientation val="minMax"/>
        </c:scaling>
        <c:delete val="0"/>
        <c:axPos val="l"/>
        <c:majorGridlines>
          <c:spPr>
            <a:ln w="0">
              <a:solidFill>
                <a:srgbClr val="B3B3B3"/>
              </a:solidFill>
            </a:ln>
          </c:spPr>
        </c:majorGridlines>
        <c:title>
          <c:tx>
            <c:rich>
              <a:bodyPr rot="-5400000"/>
              <a:lstStyle/>
              <a:p>
                <a:pPr>
                  <a:defRPr lang="en-GB" sz="1000" b="1" strike="noStrike" spc="-1">
                    <a:solidFill>
                      <a:srgbClr val="000000"/>
                    </a:solidFill>
                    <a:latin typeface="Aptos Narrow"/>
                  </a:defRPr>
                </a:pPr>
                <a:r>
                  <a:rPr lang="en-GB" sz="1000" b="1" strike="noStrike" spc="-1">
                    <a:solidFill>
                      <a:srgbClr val="000000"/>
                    </a:solidFill>
                    <a:latin typeface="Aptos Narrow"/>
                  </a:rPr>
                  <a:t># core families</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Arial"/>
              </a:defRPr>
            </a:pPr>
            <a:endParaRPr lang="en-BE"/>
          </a:p>
        </c:txPr>
        <c:crossAx val="23101879"/>
        <c:crosses val="autoZero"/>
        <c:crossBetween val="midCat"/>
      </c:valAx>
      <c:spPr>
        <a:noFill/>
        <a:ln w="0">
          <a:solidFill>
            <a:srgbClr val="B3B3B3"/>
          </a:solidFill>
        </a:ln>
      </c:spPr>
    </c:plotArea>
    <c:legend>
      <c:legendPos val="r"/>
      <c:overlay val="0"/>
      <c:spPr>
        <a:noFill/>
        <a:ln w="0">
          <a:noFill/>
        </a:ln>
      </c:spPr>
      <c:txPr>
        <a:bodyPr/>
        <a:lstStyle/>
        <a:p>
          <a:pPr>
            <a:defRPr sz="1000" b="0" strike="noStrike" spc="-1">
              <a:solidFill>
                <a:srgbClr val="000000"/>
              </a:solidFill>
              <a:latin typeface="Arial"/>
            </a:defRPr>
          </a:pPr>
          <a:endParaRPr lang="en-BE"/>
        </a:p>
      </c:txPr>
    </c:legend>
    <c:plotVisOnly val="1"/>
    <c:dispBlanksAs val="span"/>
    <c:showDLblsOverMax val="1"/>
  </c:chart>
  <c:spPr>
    <a:solidFill>
      <a:srgbClr val="FFFFFF"/>
    </a:solidFill>
    <a:ln w="0">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GB" sz="1300" b="0" strike="noStrike" spc="-1">
                <a:solidFill>
                  <a:srgbClr val="000000"/>
                </a:solidFill>
                <a:latin typeface="Arial"/>
              </a:defRPr>
            </a:pPr>
            <a:r>
              <a:rPr lang="en-GB" sz="1300" b="0" strike="noStrike" spc="-1">
                <a:solidFill>
                  <a:srgbClr val="000000"/>
                </a:solidFill>
                <a:latin typeface="Arial"/>
              </a:rPr>
              <a:t>Constant coverage %</a:t>
            </a:r>
          </a:p>
        </c:rich>
      </c:tx>
      <c:overlay val="0"/>
      <c:spPr>
        <a:noFill/>
        <a:ln w="0">
          <a:noFill/>
        </a:ln>
      </c:spPr>
    </c:title>
    <c:autoTitleDeleted val="0"/>
    <c:plotArea>
      <c:layout/>
      <c:scatterChart>
        <c:scatterStyle val="lineMarker"/>
        <c:varyColors val="0"/>
        <c:ser>
          <c:idx val="0"/>
          <c:order val="0"/>
          <c:tx>
            <c:strRef>
              <c:f>'Clustering thresholds'!$B$19</c:f>
              <c:strCache>
                <c:ptCount val="1"/>
                <c:pt idx="0">
                  <c:v>20</c:v>
                </c:pt>
              </c:strCache>
            </c:strRef>
          </c:tx>
          <c:spPr>
            <a:ln w="28800">
              <a:solidFill>
                <a:srgbClr val="004586"/>
              </a:solidFill>
              <a:round/>
            </a:ln>
          </c:spPr>
          <c:marker>
            <c:symbol val="square"/>
            <c:size val="8"/>
            <c:spPr>
              <a:solidFill>
                <a:srgbClr val="004586"/>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thresholds'!$A$20:$A$24</c:f>
              <c:numCache>
                <c:formatCode>General</c:formatCode>
                <c:ptCount val="5"/>
                <c:pt idx="0">
                  <c:v>30</c:v>
                </c:pt>
                <c:pt idx="1">
                  <c:v>40</c:v>
                </c:pt>
                <c:pt idx="2">
                  <c:v>50</c:v>
                </c:pt>
                <c:pt idx="3">
                  <c:v>60</c:v>
                </c:pt>
                <c:pt idx="4">
                  <c:v>70</c:v>
                </c:pt>
              </c:numCache>
            </c:numRef>
          </c:xVal>
          <c:yVal>
            <c:numRef>
              <c:f>'Clustering thresholds'!$B$20:$B$24</c:f>
              <c:numCache>
                <c:formatCode>General</c:formatCode>
                <c:ptCount val="5"/>
                <c:pt idx="0">
                  <c:v>1673</c:v>
                </c:pt>
                <c:pt idx="1">
                  <c:v>1848</c:v>
                </c:pt>
                <c:pt idx="2">
                  <c:v>2083</c:v>
                </c:pt>
                <c:pt idx="3">
                  <c:v>2215</c:v>
                </c:pt>
                <c:pt idx="4">
                  <c:v>2338</c:v>
                </c:pt>
              </c:numCache>
            </c:numRef>
          </c:yVal>
          <c:smooth val="0"/>
          <c:extLst>
            <c:ext xmlns:c16="http://schemas.microsoft.com/office/drawing/2014/chart" uri="{C3380CC4-5D6E-409C-BE32-E72D297353CC}">
              <c16:uniqueId val="{00000000-22E1-426E-8895-88E67976EF70}"/>
            </c:ext>
          </c:extLst>
        </c:ser>
        <c:ser>
          <c:idx val="1"/>
          <c:order val="1"/>
          <c:tx>
            <c:strRef>
              <c:f>'Clustering thresholds'!$C$19</c:f>
              <c:strCache>
                <c:ptCount val="1"/>
                <c:pt idx="0">
                  <c:v>30</c:v>
                </c:pt>
              </c:strCache>
            </c:strRef>
          </c:tx>
          <c:spPr>
            <a:ln w="28800">
              <a:solidFill>
                <a:srgbClr val="FF420E"/>
              </a:solidFill>
              <a:round/>
            </a:ln>
          </c:spPr>
          <c:marker>
            <c:symbol val="diamond"/>
            <c:size val="8"/>
            <c:spPr>
              <a:solidFill>
                <a:srgbClr val="FF420E"/>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thresholds'!$A$20:$A$24</c:f>
              <c:numCache>
                <c:formatCode>General</c:formatCode>
                <c:ptCount val="5"/>
                <c:pt idx="0">
                  <c:v>30</c:v>
                </c:pt>
                <c:pt idx="1">
                  <c:v>40</c:v>
                </c:pt>
                <c:pt idx="2">
                  <c:v>50</c:v>
                </c:pt>
                <c:pt idx="3">
                  <c:v>60</c:v>
                </c:pt>
                <c:pt idx="4">
                  <c:v>70</c:v>
                </c:pt>
              </c:numCache>
            </c:numRef>
          </c:xVal>
          <c:yVal>
            <c:numRef>
              <c:f>'Clustering thresholds'!$C$20:$C$24</c:f>
              <c:numCache>
                <c:formatCode>General</c:formatCode>
                <c:ptCount val="5"/>
                <c:pt idx="0">
                  <c:v>2082</c:v>
                </c:pt>
                <c:pt idx="1">
                  <c:v>2252</c:v>
                </c:pt>
                <c:pt idx="2">
                  <c:v>2489</c:v>
                </c:pt>
                <c:pt idx="3">
                  <c:v>2624</c:v>
                </c:pt>
                <c:pt idx="4">
                  <c:v>2664</c:v>
                </c:pt>
              </c:numCache>
            </c:numRef>
          </c:yVal>
          <c:smooth val="0"/>
          <c:extLst>
            <c:ext xmlns:c16="http://schemas.microsoft.com/office/drawing/2014/chart" uri="{C3380CC4-5D6E-409C-BE32-E72D297353CC}">
              <c16:uniqueId val="{00000001-22E1-426E-8895-88E67976EF70}"/>
            </c:ext>
          </c:extLst>
        </c:ser>
        <c:ser>
          <c:idx val="2"/>
          <c:order val="2"/>
          <c:tx>
            <c:strRef>
              <c:f>'Clustering thresholds'!$D$19</c:f>
              <c:strCache>
                <c:ptCount val="1"/>
                <c:pt idx="0">
                  <c:v>40</c:v>
                </c:pt>
              </c:strCache>
            </c:strRef>
          </c:tx>
          <c:spPr>
            <a:ln w="28800">
              <a:solidFill>
                <a:srgbClr val="FFD320"/>
              </a:solidFill>
              <a:round/>
            </a:ln>
          </c:spPr>
          <c:marker>
            <c:symbol val="triangle"/>
            <c:size val="8"/>
            <c:spPr>
              <a:solidFill>
                <a:srgbClr val="FFD320"/>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thresholds'!$A$20:$A$24</c:f>
              <c:numCache>
                <c:formatCode>General</c:formatCode>
                <c:ptCount val="5"/>
                <c:pt idx="0">
                  <c:v>30</c:v>
                </c:pt>
                <c:pt idx="1">
                  <c:v>40</c:v>
                </c:pt>
                <c:pt idx="2">
                  <c:v>50</c:v>
                </c:pt>
                <c:pt idx="3">
                  <c:v>60</c:v>
                </c:pt>
                <c:pt idx="4">
                  <c:v>70</c:v>
                </c:pt>
              </c:numCache>
            </c:numRef>
          </c:xVal>
          <c:yVal>
            <c:numRef>
              <c:f>'Clustering thresholds'!$D$20:$D$24</c:f>
              <c:numCache>
                <c:formatCode>General</c:formatCode>
                <c:ptCount val="5"/>
                <c:pt idx="0">
                  <c:v>2466</c:v>
                </c:pt>
                <c:pt idx="1">
                  <c:v>2609</c:v>
                </c:pt>
                <c:pt idx="2">
                  <c:v>2713</c:v>
                </c:pt>
                <c:pt idx="3">
                  <c:v>2757</c:v>
                </c:pt>
                <c:pt idx="4">
                  <c:v>2746</c:v>
                </c:pt>
              </c:numCache>
            </c:numRef>
          </c:yVal>
          <c:smooth val="0"/>
          <c:extLst>
            <c:ext xmlns:c16="http://schemas.microsoft.com/office/drawing/2014/chart" uri="{C3380CC4-5D6E-409C-BE32-E72D297353CC}">
              <c16:uniqueId val="{00000002-22E1-426E-8895-88E67976EF70}"/>
            </c:ext>
          </c:extLst>
        </c:ser>
        <c:ser>
          <c:idx val="3"/>
          <c:order val="3"/>
          <c:tx>
            <c:strRef>
              <c:f>'Clustering thresholds'!$E$19</c:f>
              <c:strCache>
                <c:ptCount val="1"/>
                <c:pt idx="0">
                  <c:v>50</c:v>
                </c:pt>
              </c:strCache>
            </c:strRef>
          </c:tx>
          <c:spPr>
            <a:ln w="28800">
              <a:solidFill>
                <a:srgbClr val="579D1C"/>
              </a:solidFill>
              <a:round/>
            </a:ln>
          </c:spPr>
          <c:marker>
            <c:symbol val="triangle"/>
            <c:size val="8"/>
            <c:spPr>
              <a:solidFill>
                <a:srgbClr val="579D1C"/>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thresholds'!$A$20:$A$24</c:f>
              <c:numCache>
                <c:formatCode>General</c:formatCode>
                <c:ptCount val="5"/>
                <c:pt idx="0">
                  <c:v>30</c:v>
                </c:pt>
                <c:pt idx="1">
                  <c:v>40</c:v>
                </c:pt>
                <c:pt idx="2">
                  <c:v>50</c:v>
                </c:pt>
                <c:pt idx="3">
                  <c:v>60</c:v>
                </c:pt>
                <c:pt idx="4">
                  <c:v>70</c:v>
                </c:pt>
              </c:numCache>
            </c:numRef>
          </c:xVal>
          <c:yVal>
            <c:numRef>
              <c:f>'Clustering thresholds'!$E$20:$E$24</c:f>
              <c:numCache>
                <c:formatCode>General</c:formatCode>
                <c:ptCount val="5"/>
                <c:pt idx="0">
                  <c:v>2381</c:v>
                </c:pt>
                <c:pt idx="1">
                  <c:v>2383</c:v>
                </c:pt>
                <c:pt idx="2">
                  <c:v>2368</c:v>
                </c:pt>
                <c:pt idx="3">
                  <c:v>2393</c:v>
                </c:pt>
                <c:pt idx="4">
                  <c:v>2361</c:v>
                </c:pt>
              </c:numCache>
            </c:numRef>
          </c:yVal>
          <c:smooth val="0"/>
          <c:extLst>
            <c:ext xmlns:c16="http://schemas.microsoft.com/office/drawing/2014/chart" uri="{C3380CC4-5D6E-409C-BE32-E72D297353CC}">
              <c16:uniqueId val="{00000003-22E1-426E-8895-88E67976EF70}"/>
            </c:ext>
          </c:extLst>
        </c:ser>
        <c:ser>
          <c:idx val="4"/>
          <c:order val="4"/>
          <c:tx>
            <c:strRef>
              <c:f>'Clustering thresholds'!$F$19</c:f>
              <c:strCache>
                <c:ptCount val="1"/>
                <c:pt idx="0">
                  <c:v>60</c:v>
                </c:pt>
              </c:strCache>
            </c:strRef>
          </c:tx>
          <c:spPr>
            <a:ln w="28800">
              <a:solidFill>
                <a:srgbClr val="7E0021"/>
              </a:solidFill>
              <a:round/>
            </a:ln>
          </c:spPr>
          <c:marker>
            <c:symbol val="triangle"/>
            <c:size val="8"/>
            <c:spPr>
              <a:solidFill>
                <a:srgbClr val="7E0021"/>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thresholds'!$A$20:$A$24</c:f>
              <c:numCache>
                <c:formatCode>General</c:formatCode>
                <c:ptCount val="5"/>
                <c:pt idx="0">
                  <c:v>30</c:v>
                </c:pt>
                <c:pt idx="1">
                  <c:v>40</c:v>
                </c:pt>
                <c:pt idx="2">
                  <c:v>50</c:v>
                </c:pt>
                <c:pt idx="3">
                  <c:v>60</c:v>
                </c:pt>
                <c:pt idx="4">
                  <c:v>70</c:v>
                </c:pt>
              </c:numCache>
            </c:numRef>
          </c:xVal>
          <c:yVal>
            <c:numRef>
              <c:f>'Clustering thresholds'!$F$20:$F$24</c:f>
              <c:numCache>
                <c:formatCode>General</c:formatCode>
                <c:ptCount val="5"/>
                <c:pt idx="0">
                  <c:v>1774</c:v>
                </c:pt>
                <c:pt idx="1">
                  <c:v>1749</c:v>
                </c:pt>
                <c:pt idx="2">
                  <c:v>1736</c:v>
                </c:pt>
                <c:pt idx="3">
                  <c:v>1722</c:v>
                </c:pt>
                <c:pt idx="4">
                  <c:v>1718</c:v>
                </c:pt>
              </c:numCache>
            </c:numRef>
          </c:yVal>
          <c:smooth val="0"/>
          <c:extLst>
            <c:ext xmlns:c16="http://schemas.microsoft.com/office/drawing/2014/chart" uri="{C3380CC4-5D6E-409C-BE32-E72D297353CC}">
              <c16:uniqueId val="{00000004-22E1-426E-8895-88E67976EF70}"/>
            </c:ext>
          </c:extLst>
        </c:ser>
        <c:dLbls>
          <c:showLegendKey val="0"/>
          <c:showVal val="0"/>
          <c:showCatName val="0"/>
          <c:showSerName val="0"/>
          <c:showPercent val="0"/>
          <c:showBubbleSize val="0"/>
        </c:dLbls>
        <c:axId val="98080579"/>
        <c:axId val="18162773"/>
      </c:scatterChart>
      <c:valAx>
        <c:axId val="98080579"/>
        <c:scaling>
          <c:orientation val="minMax"/>
          <c:max val="70"/>
          <c:min val="30"/>
        </c:scaling>
        <c:delete val="0"/>
        <c:axPos val="b"/>
        <c:title>
          <c:tx>
            <c:rich>
              <a:bodyPr rot="0"/>
              <a:lstStyle/>
              <a:p>
                <a:pPr>
                  <a:defRPr lang="en-GB" sz="1000" b="1" strike="noStrike" spc="-1">
                    <a:solidFill>
                      <a:srgbClr val="000000"/>
                    </a:solidFill>
                    <a:latin typeface="Aptos Narrow"/>
                  </a:defRPr>
                </a:pPr>
                <a:r>
                  <a:rPr lang="en-GB" sz="1000" b="1" strike="noStrike" spc="-1">
                    <a:solidFill>
                      <a:srgbClr val="000000"/>
                    </a:solidFill>
                    <a:latin typeface="Aptos Narrow"/>
                  </a:rPr>
                  <a:t>Identity %</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Arial"/>
              </a:defRPr>
            </a:pPr>
            <a:endParaRPr lang="en-BE"/>
          </a:p>
        </c:txPr>
        <c:crossAx val="18162773"/>
        <c:crosses val="autoZero"/>
        <c:crossBetween val="midCat"/>
      </c:valAx>
      <c:valAx>
        <c:axId val="18162773"/>
        <c:scaling>
          <c:orientation val="minMax"/>
        </c:scaling>
        <c:delete val="0"/>
        <c:axPos val="l"/>
        <c:majorGridlines>
          <c:spPr>
            <a:ln w="0">
              <a:solidFill>
                <a:srgbClr val="B3B3B3"/>
              </a:solidFill>
            </a:ln>
          </c:spPr>
        </c:majorGridlines>
        <c:title>
          <c:tx>
            <c:rich>
              <a:bodyPr rot="-5400000"/>
              <a:lstStyle/>
              <a:p>
                <a:pPr>
                  <a:defRPr lang="en-GB" sz="1000" b="1" strike="noStrike" spc="-1">
                    <a:solidFill>
                      <a:srgbClr val="000000"/>
                    </a:solidFill>
                    <a:latin typeface="Aptos Narrow"/>
                  </a:defRPr>
                </a:pPr>
                <a:r>
                  <a:rPr lang="en-GB" sz="1000" b="1" strike="noStrike" spc="-1">
                    <a:solidFill>
                      <a:srgbClr val="000000"/>
                    </a:solidFill>
                    <a:latin typeface="Aptos Narrow"/>
                  </a:rPr>
                  <a:t># accessory families</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Arial"/>
              </a:defRPr>
            </a:pPr>
            <a:endParaRPr lang="en-BE"/>
          </a:p>
        </c:txPr>
        <c:crossAx val="98080579"/>
        <c:crosses val="autoZero"/>
        <c:crossBetween val="midCat"/>
      </c:valAx>
      <c:spPr>
        <a:noFill/>
        <a:ln w="0">
          <a:solidFill>
            <a:srgbClr val="B3B3B3"/>
          </a:solidFill>
        </a:ln>
      </c:spPr>
    </c:plotArea>
    <c:legend>
      <c:legendPos val="r"/>
      <c:overlay val="0"/>
      <c:spPr>
        <a:noFill/>
        <a:ln w="0">
          <a:noFill/>
        </a:ln>
      </c:spPr>
      <c:txPr>
        <a:bodyPr/>
        <a:lstStyle/>
        <a:p>
          <a:pPr>
            <a:defRPr sz="1000" b="0" strike="noStrike" spc="-1">
              <a:solidFill>
                <a:srgbClr val="000000"/>
              </a:solidFill>
              <a:latin typeface="Arial"/>
            </a:defRPr>
          </a:pPr>
          <a:endParaRPr lang="en-BE"/>
        </a:p>
      </c:txPr>
    </c:legend>
    <c:plotVisOnly val="1"/>
    <c:dispBlanksAs val="span"/>
    <c:showDLblsOverMax val="1"/>
  </c:chart>
  <c:spPr>
    <a:solidFill>
      <a:srgbClr val="FFFFFF"/>
    </a:solidFill>
    <a:ln w="0">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GB" sz="1300" b="0" strike="noStrike" spc="-1">
                <a:solidFill>
                  <a:srgbClr val="000000"/>
                </a:solidFill>
                <a:latin typeface="Arial"/>
              </a:defRPr>
            </a:pPr>
            <a:r>
              <a:rPr lang="en-GB" sz="1300" b="0" strike="noStrike" spc="-1">
                <a:solidFill>
                  <a:srgbClr val="000000"/>
                </a:solidFill>
                <a:latin typeface="Arial"/>
              </a:rPr>
              <a:t>Constant coverage %</a:t>
            </a:r>
          </a:p>
        </c:rich>
      </c:tx>
      <c:overlay val="0"/>
      <c:spPr>
        <a:noFill/>
        <a:ln w="0">
          <a:noFill/>
        </a:ln>
      </c:spPr>
    </c:title>
    <c:autoTitleDeleted val="0"/>
    <c:plotArea>
      <c:layout/>
      <c:scatterChart>
        <c:scatterStyle val="lineMarker"/>
        <c:varyColors val="0"/>
        <c:ser>
          <c:idx val="0"/>
          <c:order val="0"/>
          <c:tx>
            <c:strRef>
              <c:f>'Clustering thresholds'!$B$35</c:f>
              <c:strCache>
                <c:ptCount val="1"/>
                <c:pt idx="0">
                  <c:v>20</c:v>
                </c:pt>
              </c:strCache>
            </c:strRef>
          </c:tx>
          <c:spPr>
            <a:ln w="28800">
              <a:solidFill>
                <a:srgbClr val="004586"/>
              </a:solidFill>
              <a:round/>
            </a:ln>
          </c:spPr>
          <c:marker>
            <c:symbol val="square"/>
            <c:size val="8"/>
            <c:spPr>
              <a:solidFill>
                <a:srgbClr val="004586"/>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thresholds'!$A$36:$A$40</c:f>
              <c:numCache>
                <c:formatCode>General</c:formatCode>
                <c:ptCount val="5"/>
                <c:pt idx="0">
                  <c:v>30</c:v>
                </c:pt>
                <c:pt idx="1">
                  <c:v>40</c:v>
                </c:pt>
                <c:pt idx="2">
                  <c:v>50</c:v>
                </c:pt>
                <c:pt idx="3">
                  <c:v>60</c:v>
                </c:pt>
                <c:pt idx="4">
                  <c:v>70</c:v>
                </c:pt>
              </c:numCache>
            </c:numRef>
          </c:xVal>
          <c:yVal>
            <c:numRef>
              <c:f>'Clustering thresholds'!$B$36:$B$40</c:f>
              <c:numCache>
                <c:formatCode>General</c:formatCode>
                <c:ptCount val="5"/>
                <c:pt idx="0">
                  <c:v>181522</c:v>
                </c:pt>
                <c:pt idx="1">
                  <c:v>188994</c:v>
                </c:pt>
                <c:pt idx="2">
                  <c:v>197558</c:v>
                </c:pt>
                <c:pt idx="3">
                  <c:v>210057</c:v>
                </c:pt>
                <c:pt idx="4">
                  <c:v>227141</c:v>
                </c:pt>
              </c:numCache>
            </c:numRef>
          </c:yVal>
          <c:smooth val="0"/>
          <c:extLst>
            <c:ext xmlns:c16="http://schemas.microsoft.com/office/drawing/2014/chart" uri="{C3380CC4-5D6E-409C-BE32-E72D297353CC}">
              <c16:uniqueId val="{00000000-47D3-461A-AFCC-34612BE58F94}"/>
            </c:ext>
          </c:extLst>
        </c:ser>
        <c:ser>
          <c:idx val="1"/>
          <c:order val="1"/>
          <c:tx>
            <c:strRef>
              <c:f>'Clustering thresholds'!$C$35</c:f>
              <c:strCache>
                <c:ptCount val="1"/>
                <c:pt idx="0">
                  <c:v>30</c:v>
                </c:pt>
              </c:strCache>
            </c:strRef>
          </c:tx>
          <c:spPr>
            <a:ln w="28800">
              <a:solidFill>
                <a:srgbClr val="FF420E"/>
              </a:solidFill>
              <a:round/>
            </a:ln>
          </c:spPr>
          <c:marker>
            <c:symbol val="diamond"/>
            <c:size val="8"/>
            <c:spPr>
              <a:solidFill>
                <a:srgbClr val="FF420E"/>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thresholds'!$A$36:$A$40</c:f>
              <c:numCache>
                <c:formatCode>General</c:formatCode>
                <c:ptCount val="5"/>
                <c:pt idx="0">
                  <c:v>30</c:v>
                </c:pt>
                <c:pt idx="1">
                  <c:v>40</c:v>
                </c:pt>
                <c:pt idx="2">
                  <c:v>50</c:v>
                </c:pt>
                <c:pt idx="3">
                  <c:v>60</c:v>
                </c:pt>
                <c:pt idx="4">
                  <c:v>70</c:v>
                </c:pt>
              </c:numCache>
            </c:numRef>
          </c:xVal>
          <c:yVal>
            <c:numRef>
              <c:f>'Clustering thresholds'!$C$36:$C$40</c:f>
              <c:numCache>
                <c:formatCode>General</c:formatCode>
                <c:ptCount val="5"/>
                <c:pt idx="0">
                  <c:v>226413</c:v>
                </c:pt>
                <c:pt idx="1">
                  <c:v>236599</c:v>
                </c:pt>
                <c:pt idx="2">
                  <c:v>247452</c:v>
                </c:pt>
                <c:pt idx="3">
                  <c:v>261662</c:v>
                </c:pt>
                <c:pt idx="4">
                  <c:v>280075</c:v>
                </c:pt>
              </c:numCache>
            </c:numRef>
          </c:yVal>
          <c:smooth val="0"/>
          <c:extLst>
            <c:ext xmlns:c16="http://schemas.microsoft.com/office/drawing/2014/chart" uri="{C3380CC4-5D6E-409C-BE32-E72D297353CC}">
              <c16:uniqueId val="{00000001-47D3-461A-AFCC-34612BE58F94}"/>
            </c:ext>
          </c:extLst>
        </c:ser>
        <c:ser>
          <c:idx val="2"/>
          <c:order val="2"/>
          <c:tx>
            <c:strRef>
              <c:f>'Clustering thresholds'!$D$35</c:f>
              <c:strCache>
                <c:ptCount val="1"/>
                <c:pt idx="0">
                  <c:v>40</c:v>
                </c:pt>
              </c:strCache>
            </c:strRef>
          </c:tx>
          <c:spPr>
            <a:ln w="28800">
              <a:solidFill>
                <a:srgbClr val="FFD320"/>
              </a:solidFill>
              <a:round/>
            </a:ln>
          </c:spPr>
          <c:marker>
            <c:symbol val="triangle"/>
            <c:size val="8"/>
            <c:spPr>
              <a:solidFill>
                <a:srgbClr val="FFD320"/>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thresholds'!$A$36:$A$40</c:f>
              <c:numCache>
                <c:formatCode>General</c:formatCode>
                <c:ptCount val="5"/>
                <c:pt idx="0">
                  <c:v>30</c:v>
                </c:pt>
                <c:pt idx="1">
                  <c:v>40</c:v>
                </c:pt>
                <c:pt idx="2">
                  <c:v>50</c:v>
                </c:pt>
                <c:pt idx="3">
                  <c:v>60</c:v>
                </c:pt>
                <c:pt idx="4">
                  <c:v>70</c:v>
                </c:pt>
              </c:numCache>
            </c:numRef>
          </c:xVal>
          <c:yVal>
            <c:numRef>
              <c:f>'Clustering thresholds'!$D$36:$D$40</c:f>
              <c:numCache>
                <c:formatCode>General</c:formatCode>
                <c:ptCount val="5"/>
                <c:pt idx="0">
                  <c:v>379165</c:v>
                </c:pt>
                <c:pt idx="1">
                  <c:v>395815</c:v>
                </c:pt>
                <c:pt idx="2">
                  <c:v>410111</c:v>
                </c:pt>
                <c:pt idx="3">
                  <c:v>425393</c:v>
                </c:pt>
                <c:pt idx="4">
                  <c:v>443756</c:v>
                </c:pt>
              </c:numCache>
            </c:numRef>
          </c:yVal>
          <c:smooth val="0"/>
          <c:extLst>
            <c:ext xmlns:c16="http://schemas.microsoft.com/office/drawing/2014/chart" uri="{C3380CC4-5D6E-409C-BE32-E72D297353CC}">
              <c16:uniqueId val="{00000002-47D3-461A-AFCC-34612BE58F94}"/>
            </c:ext>
          </c:extLst>
        </c:ser>
        <c:ser>
          <c:idx val="3"/>
          <c:order val="3"/>
          <c:tx>
            <c:strRef>
              <c:f>'Clustering thresholds'!$E$35</c:f>
              <c:strCache>
                <c:ptCount val="1"/>
                <c:pt idx="0">
                  <c:v>50</c:v>
                </c:pt>
              </c:strCache>
            </c:strRef>
          </c:tx>
          <c:spPr>
            <a:ln w="28800">
              <a:solidFill>
                <a:srgbClr val="579D1C"/>
              </a:solidFill>
              <a:round/>
            </a:ln>
          </c:spPr>
          <c:marker>
            <c:symbol val="triangle"/>
            <c:size val="8"/>
            <c:spPr>
              <a:solidFill>
                <a:srgbClr val="579D1C"/>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thresholds'!$A$36:$A$40</c:f>
              <c:numCache>
                <c:formatCode>General</c:formatCode>
                <c:ptCount val="5"/>
                <c:pt idx="0">
                  <c:v>30</c:v>
                </c:pt>
                <c:pt idx="1">
                  <c:v>40</c:v>
                </c:pt>
                <c:pt idx="2">
                  <c:v>50</c:v>
                </c:pt>
                <c:pt idx="3">
                  <c:v>60</c:v>
                </c:pt>
                <c:pt idx="4">
                  <c:v>70</c:v>
                </c:pt>
              </c:numCache>
            </c:numRef>
          </c:xVal>
          <c:yVal>
            <c:numRef>
              <c:f>'Clustering thresholds'!$E$36:$E$40</c:f>
              <c:numCache>
                <c:formatCode>General</c:formatCode>
                <c:ptCount val="5"/>
                <c:pt idx="0">
                  <c:v>637713</c:v>
                </c:pt>
                <c:pt idx="1">
                  <c:v>653471</c:v>
                </c:pt>
                <c:pt idx="2">
                  <c:v>666178</c:v>
                </c:pt>
                <c:pt idx="3">
                  <c:v>679770</c:v>
                </c:pt>
                <c:pt idx="4">
                  <c:v>695562</c:v>
                </c:pt>
              </c:numCache>
            </c:numRef>
          </c:yVal>
          <c:smooth val="0"/>
          <c:extLst>
            <c:ext xmlns:c16="http://schemas.microsoft.com/office/drawing/2014/chart" uri="{C3380CC4-5D6E-409C-BE32-E72D297353CC}">
              <c16:uniqueId val="{00000003-47D3-461A-AFCC-34612BE58F94}"/>
            </c:ext>
          </c:extLst>
        </c:ser>
        <c:ser>
          <c:idx val="4"/>
          <c:order val="4"/>
          <c:tx>
            <c:strRef>
              <c:f>'Clustering thresholds'!$F$35</c:f>
              <c:strCache>
                <c:ptCount val="1"/>
                <c:pt idx="0">
                  <c:v>60</c:v>
                </c:pt>
              </c:strCache>
            </c:strRef>
          </c:tx>
          <c:spPr>
            <a:ln w="28800">
              <a:solidFill>
                <a:srgbClr val="7E0021"/>
              </a:solidFill>
              <a:round/>
            </a:ln>
          </c:spPr>
          <c:marker>
            <c:symbol val="triangle"/>
            <c:size val="8"/>
            <c:spPr>
              <a:solidFill>
                <a:srgbClr val="7E0021"/>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'Clustering thresholds'!$A$36:$A$40</c:f>
              <c:numCache>
                <c:formatCode>General</c:formatCode>
                <c:ptCount val="5"/>
                <c:pt idx="0">
                  <c:v>30</c:v>
                </c:pt>
                <c:pt idx="1">
                  <c:v>40</c:v>
                </c:pt>
                <c:pt idx="2">
                  <c:v>50</c:v>
                </c:pt>
                <c:pt idx="3">
                  <c:v>60</c:v>
                </c:pt>
                <c:pt idx="4">
                  <c:v>70</c:v>
                </c:pt>
              </c:numCache>
            </c:numRef>
          </c:xVal>
          <c:yVal>
            <c:numRef>
              <c:f>'Clustering thresholds'!$F$36:$F$40</c:f>
              <c:numCache>
                <c:formatCode>General</c:formatCode>
                <c:ptCount val="5"/>
                <c:pt idx="0">
                  <c:v>1002524</c:v>
                </c:pt>
                <c:pt idx="1">
                  <c:v>1013463</c:v>
                </c:pt>
                <c:pt idx="2">
                  <c:v>1022450</c:v>
                </c:pt>
                <c:pt idx="3">
                  <c:v>1032557</c:v>
                </c:pt>
                <c:pt idx="4">
                  <c:v>1043886</c:v>
                </c:pt>
              </c:numCache>
            </c:numRef>
          </c:yVal>
          <c:smooth val="0"/>
          <c:extLst>
            <c:ext xmlns:c16="http://schemas.microsoft.com/office/drawing/2014/chart" uri="{C3380CC4-5D6E-409C-BE32-E72D297353CC}">
              <c16:uniqueId val="{00000004-47D3-461A-AFCC-34612BE58F94}"/>
            </c:ext>
          </c:extLst>
        </c:ser>
        <c:dLbls>
          <c:showLegendKey val="0"/>
          <c:showVal val="0"/>
          <c:showCatName val="0"/>
          <c:showSerName val="0"/>
          <c:showPercent val="0"/>
          <c:showBubbleSize val="0"/>
        </c:dLbls>
        <c:axId val="29632162"/>
        <c:axId val="49071042"/>
      </c:scatterChart>
      <c:valAx>
        <c:axId val="29632162"/>
        <c:scaling>
          <c:orientation val="minMax"/>
          <c:max val="70"/>
          <c:min val="30"/>
        </c:scaling>
        <c:delete val="0"/>
        <c:axPos val="b"/>
        <c:title>
          <c:tx>
            <c:rich>
              <a:bodyPr rot="0"/>
              <a:lstStyle/>
              <a:p>
                <a:pPr>
                  <a:defRPr lang="en-GB" sz="1000" b="1" strike="noStrike" spc="-1">
                    <a:solidFill>
                      <a:srgbClr val="000000"/>
                    </a:solidFill>
                    <a:latin typeface="Aptos Narrow"/>
                  </a:defRPr>
                </a:pPr>
                <a:r>
                  <a:rPr lang="en-GB" sz="1000" b="1" strike="noStrike" spc="-1">
                    <a:solidFill>
                      <a:srgbClr val="000000"/>
                    </a:solidFill>
                    <a:latin typeface="Aptos Narrow"/>
                  </a:rPr>
                  <a:t>Identity %</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Arial"/>
              </a:defRPr>
            </a:pPr>
            <a:endParaRPr lang="en-BE"/>
          </a:p>
        </c:txPr>
        <c:crossAx val="49071042"/>
        <c:crosses val="autoZero"/>
        <c:crossBetween val="midCat"/>
      </c:valAx>
      <c:valAx>
        <c:axId val="49071042"/>
        <c:scaling>
          <c:orientation val="minMax"/>
        </c:scaling>
        <c:delete val="0"/>
        <c:axPos val="l"/>
        <c:majorGridlines>
          <c:spPr>
            <a:ln w="0">
              <a:solidFill>
                <a:srgbClr val="B3B3B3"/>
              </a:solidFill>
            </a:ln>
          </c:spPr>
        </c:majorGridlines>
        <c:title>
          <c:tx>
            <c:rich>
              <a:bodyPr rot="-5400000"/>
              <a:lstStyle/>
              <a:p>
                <a:pPr>
                  <a:defRPr lang="en-GB" sz="1000" b="1" strike="noStrike" spc="-1">
                    <a:solidFill>
                      <a:srgbClr val="000000"/>
                    </a:solidFill>
                    <a:latin typeface="Aptos Narrow"/>
                  </a:defRPr>
                </a:pPr>
                <a:r>
                  <a:rPr lang="en-GB" sz="1000" b="1" strike="noStrike" spc="-1">
                    <a:solidFill>
                      <a:srgbClr val="000000"/>
                    </a:solidFill>
                    <a:latin typeface="Aptos Narrow"/>
                  </a:rPr>
                  <a:t># unique families</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Arial"/>
              </a:defRPr>
            </a:pPr>
            <a:endParaRPr lang="en-BE"/>
          </a:p>
        </c:txPr>
        <c:crossAx val="29632162"/>
        <c:crosses val="autoZero"/>
        <c:crossBetween val="midCat"/>
      </c:valAx>
      <c:spPr>
        <a:noFill/>
        <a:ln w="0">
          <a:solidFill>
            <a:srgbClr val="B3B3B3"/>
          </a:solidFill>
        </a:ln>
      </c:spPr>
    </c:plotArea>
    <c:legend>
      <c:legendPos val="r"/>
      <c:overlay val="0"/>
      <c:spPr>
        <a:noFill/>
        <a:ln w="0">
          <a:noFill/>
        </a:ln>
      </c:spPr>
      <c:txPr>
        <a:bodyPr/>
        <a:lstStyle/>
        <a:p>
          <a:pPr>
            <a:defRPr sz="1000" b="0" strike="noStrike" spc="-1">
              <a:solidFill>
                <a:srgbClr val="000000"/>
              </a:solidFill>
              <a:latin typeface="Arial"/>
            </a:defRPr>
          </a:pPr>
          <a:endParaRPr lang="en-BE"/>
        </a:p>
      </c:txPr>
    </c:legend>
    <c:plotVisOnly val="1"/>
    <c:dispBlanksAs val="span"/>
    <c:showDLblsOverMax val="1"/>
  </c:chart>
  <c:spPr>
    <a:solidFill>
      <a:srgbClr val="FFFFFF"/>
    </a:solidFill>
    <a:ln w="0">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scatterChart>
        <c:scatterStyle val="lineMarker"/>
        <c:varyColors val="0"/>
        <c:ser>
          <c:idx val="0"/>
          <c:order val="0"/>
          <c:spPr>
            <a:ln w="28800">
              <a:solidFill>
                <a:srgbClr val="004586"/>
              </a:solidFill>
              <a:round/>
            </a:ln>
          </c:spPr>
          <c:marker>
            <c:symbol val="square"/>
            <c:size val="8"/>
            <c:spPr>
              <a:solidFill>
                <a:srgbClr val="004586"/>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'Partitioning thresholds'!$B$7:$J$7</c:f>
              <c:numCache>
                <c:formatCode>General</c:formatCode>
                <c:ptCount val="9"/>
                <c:pt idx="0">
                  <c:v>80</c:v>
                </c:pt>
                <c:pt idx="1">
                  <c:v>82.5</c:v>
                </c:pt>
                <c:pt idx="2">
                  <c:v>85</c:v>
                </c:pt>
                <c:pt idx="3">
                  <c:v>87.5</c:v>
                </c:pt>
                <c:pt idx="4">
                  <c:v>90</c:v>
                </c:pt>
                <c:pt idx="5">
                  <c:v>92.5</c:v>
                </c:pt>
                <c:pt idx="6">
                  <c:v>95</c:v>
                </c:pt>
                <c:pt idx="7">
                  <c:v>97.5</c:v>
                </c:pt>
                <c:pt idx="8">
                  <c:v>99</c:v>
                </c:pt>
              </c:numCache>
            </c:numRef>
          </c:xVal>
          <c:yVal>
            <c:numRef>
              <c:f>'Partitioning thresholds'!$B$8:$J$8</c:f>
              <c:numCache>
                <c:formatCode>General</c:formatCode>
                <c:ptCount val="9"/>
                <c:pt idx="0">
                  <c:v>520</c:v>
                </c:pt>
                <c:pt idx="1">
                  <c:v>476</c:v>
                </c:pt>
                <c:pt idx="2">
                  <c:v>434</c:v>
                </c:pt>
                <c:pt idx="3">
                  <c:v>384</c:v>
                </c:pt>
                <c:pt idx="4">
                  <c:v>353</c:v>
                </c:pt>
                <c:pt idx="5">
                  <c:v>325</c:v>
                </c:pt>
                <c:pt idx="6">
                  <c:v>291</c:v>
                </c:pt>
                <c:pt idx="7">
                  <c:v>243</c:v>
                </c:pt>
                <c:pt idx="8">
                  <c:v>185</c:v>
                </c:pt>
              </c:numCache>
            </c:numRef>
          </c:yVal>
          <c:smooth val="0"/>
          <c:extLst>
            <c:ext xmlns:c16="http://schemas.microsoft.com/office/drawing/2014/chart" uri="{C3380CC4-5D6E-409C-BE32-E72D297353CC}">
              <c16:uniqueId val="{00000000-02E3-4307-B57B-E38995844EF1}"/>
            </c:ext>
          </c:extLst>
        </c:ser>
        <c:dLbls>
          <c:showLegendKey val="0"/>
          <c:showVal val="0"/>
          <c:showCatName val="0"/>
          <c:showSerName val="0"/>
          <c:showPercent val="0"/>
          <c:showBubbleSize val="0"/>
        </c:dLbls>
        <c:axId val="14666355"/>
        <c:axId val="74676998"/>
      </c:scatterChart>
      <c:valAx>
        <c:axId val="14666355"/>
        <c:scaling>
          <c:orientation val="minMax"/>
          <c:min val="80"/>
        </c:scaling>
        <c:delete val="0"/>
        <c:axPos val="b"/>
        <c:title>
          <c:tx>
            <c:rich>
              <a:bodyPr rot="0"/>
              <a:lstStyle/>
              <a:p>
                <a:pPr>
                  <a:defRPr lang="en-GB" sz="1000" b="1" strike="noStrike" spc="-1">
                    <a:solidFill>
                      <a:srgbClr val="000000"/>
                    </a:solidFill>
                    <a:latin typeface="Aptos Narrow"/>
                  </a:defRPr>
                </a:pPr>
                <a:r>
                  <a:rPr lang="en-GB" sz="1000" b="1" strike="noStrike" spc="-1">
                    <a:solidFill>
                      <a:srgbClr val="000000"/>
                    </a:solidFill>
                    <a:latin typeface="Aptos Narrow"/>
                  </a:rPr>
                  <a:t>core-accessory threshold %</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Arial"/>
              </a:defRPr>
            </a:pPr>
            <a:endParaRPr lang="en-BE"/>
          </a:p>
        </c:txPr>
        <c:crossAx val="74676998"/>
        <c:crosses val="autoZero"/>
        <c:crossBetween val="midCat"/>
      </c:valAx>
      <c:valAx>
        <c:axId val="74676998"/>
        <c:scaling>
          <c:orientation val="minMax"/>
        </c:scaling>
        <c:delete val="0"/>
        <c:axPos val="l"/>
        <c:majorGridlines>
          <c:spPr>
            <a:ln w="0">
              <a:solidFill>
                <a:srgbClr val="B3B3B3"/>
              </a:solidFill>
            </a:ln>
          </c:spPr>
        </c:majorGridlines>
        <c:title>
          <c:tx>
            <c:rich>
              <a:bodyPr rot="-5400000"/>
              <a:lstStyle/>
              <a:p>
                <a:pPr>
                  <a:defRPr lang="en-GB" sz="1000" b="1" strike="noStrike" spc="-1">
                    <a:solidFill>
                      <a:srgbClr val="000000"/>
                    </a:solidFill>
                    <a:latin typeface="Aptos Narrow"/>
                  </a:defRPr>
                </a:pPr>
                <a:r>
                  <a:rPr lang="en-GB" sz="1000" b="1" strike="noStrike" spc="-1">
                    <a:solidFill>
                      <a:srgbClr val="000000"/>
                    </a:solidFill>
                    <a:latin typeface="Aptos Narrow"/>
                  </a:rPr>
                  <a:t># core families</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Arial"/>
              </a:defRPr>
            </a:pPr>
            <a:endParaRPr lang="en-BE"/>
          </a:p>
        </c:txPr>
        <c:crossAx val="14666355"/>
        <c:crosses val="autoZero"/>
        <c:crossBetween val="midCat"/>
      </c:valAx>
      <c:spPr>
        <a:noFill/>
        <a:ln w="0">
          <a:solidFill>
            <a:srgbClr val="B3B3B3"/>
          </a:solidFill>
        </a:ln>
      </c:spPr>
    </c:plotArea>
    <c:plotVisOnly val="1"/>
    <c:dispBlanksAs val="span"/>
    <c:showDLblsOverMax val="1"/>
  </c:chart>
  <c:spPr>
    <a:solidFill>
      <a:srgbClr val="FFFFFF"/>
    </a:solidFill>
    <a:ln w="0">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scatterChart>
        <c:scatterStyle val="lineMarker"/>
        <c:varyColors val="0"/>
        <c:ser>
          <c:idx val="0"/>
          <c:order val="0"/>
          <c:spPr>
            <a:ln w="28800">
              <a:solidFill>
                <a:srgbClr val="004586"/>
              </a:solidFill>
              <a:round/>
            </a:ln>
          </c:spPr>
          <c:marker>
            <c:symbol val="square"/>
            <c:size val="8"/>
            <c:spPr>
              <a:solidFill>
                <a:srgbClr val="004586"/>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'Partitioning thresholds'!$A$44:$A$69</c:f>
              <c:numCache>
                <c:formatCode>General</c:formatCode>
                <c:ptCount val="26"/>
                <c:pt idx="0">
                  <c:v>1E-3</c:v>
                </c:pt>
                <c:pt idx="1">
                  <c:v>0.01</c:v>
                </c:pt>
                <c:pt idx="2">
                  <c:v>2.5000000000000001E-2</c:v>
                </c:pt>
                <c:pt idx="3">
                  <c:v>0.05</c:v>
                </c:pt>
                <c:pt idx="4">
                  <c:v>7.4999999999999997E-2</c:v>
                </c:pt>
                <c:pt idx="5">
                  <c:v>0.1</c:v>
                </c:pt>
                <c:pt idx="6">
                  <c:v>0.125</c:v>
                </c:pt>
                <c:pt idx="7">
                  <c:v>0.15</c:v>
                </c:pt>
                <c:pt idx="8">
                  <c:v>0.17499999999999999</c:v>
                </c:pt>
                <c:pt idx="9">
                  <c:v>0.2</c:v>
                </c:pt>
                <c:pt idx="10">
                  <c:v>0.22500000000000001</c:v>
                </c:pt>
                <c:pt idx="11">
                  <c:v>0.25</c:v>
                </c:pt>
                <c:pt idx="12">
                  <c:v>0.27500000000000002</c:v>
                </c:pt>
                <c:pt idx="13">
                  <c:v>0.3</c:v>
                </c:pt>
                <c:pt idx="14">
                  <c:v>0.32500000000000001</c:v>
                </c:pt>
                <c:pt idx="15">
                  <c:v>0.35</c:v>
                </c:pt>
                <c:pt idx="16">
                  <c:v>0.375</c:v>
                </c:pt>
                <c:pt idx="17">
                  <c:v>0.4</c:v>
                </c:pt>
                <c:pt idx="18">
                  <c:v>0.42499999999999999</c:v>
                </c:pt>
                <c:pt idx="19">
                  <c:v>0.45</c:v>
                </c:pt>
                <c:pt idx="20">
                  <c:v>0.47499999999999998</c:v>
                </c:pt>
                <c:pt idx="21">
                  <c:v>0.5</c:v>
                </c:pt>
                <c:pt idx="22">
                  <c:v>0.52500000000000002</c:v>
                </c:pt>
                <c:pt idx="23">
                  <c:v>0.55000000000000004</c:v>
                </c:pt>
                <c:pt idx="24">
                  <c:v>0.57499999999999996</c:v>
                </c:pt>
                <c:pt idx="25">
                  <c:v>0.6</c:v>
                </c:pt>
              </c:numCache>
            </c:numRef>
          </c:xVal>
          <c:yVal>
            <c:numRef>
              <c:f>'Partitioning thresholds'!$B$44:$B$69</c:f>
              <c:numCache>
                <c:formatCode>General</c:formatCode>
                <c:ptCount val="26"/>
                <c:pt idx="0">
                  <c:v>239797</c:v>
                </c:pt>
                <c:pt idx="1">
                  <c:v>370001</c:v>
                </c:pt>
                <c:pt idx="2">
                  <c:v>385571</c:v>
                </c:pt>
                <c:pt idx="3">
                  <c:v>391312</c:v>
                </c:pt>
                <c:pt idx="4">
                  <c:v>393443</c:v>
                </c:pt>
                <c:pt idx="5">
                  <c:v>394596</c:v>
                </c:pt>
                <c:pt idx="6">
                  <c:v>395313</c:v>
                </c:pt>
                <c:pt idx="7">
                  <c:v>395815</c:v>
                </c:pt>
                <c:pt idx="8">
                  <c:v>396194</c:v>
                </c:pt>
                <c:pt idx="9">
                  <c:v>396540</c:v>
                </c:pt>
                <c:pt idx="10">
                  <c:v>396773</c:v>
                </c:pt>
                <c:pt idx="11">
                  <c:v>396953</c:v>
                </c:pt>
                <c:pt idx="12">
                  <c:v>397098</c:v>
                </c:pt>
                <c:pt idx="13">
                  <c:v>397211</c:v>
                </c:pt>
                <c:pt idx="14">
                  <c:v>397338</c:v>
                </c:pt>
                <c:pt idx="15">
                  <c:v>397429</c:v>
                </c:pt>
                <c:pt idx="16">
                  <c:v>397521</c:v>
                </c:pt>
                <c:pt idx="17">
                  <c:v>397597</c:v>
                </c:pt>
                <c:pt idx="18">
                  <c:v>397672</c:v>
                </c:pt>
                <c:pt idx="19">
                  <c:v>397732</c:v>
                </c:pt>
                <c:pt idx="20">
                  <c:v>397776</c:v>
                </c:pt>
                <c:pt idx="21">
                  <c:v>397822</c:v>
                </c:pt>
                <c:pt idx="22">
                  <c:v>397857</c:v>
                </c:pt>
                <c:pt idx="23">
                  <c:v>397905</c:v>
                </c:pt>
                <c:pt idx="24">
                  <c:v>397947</c:v>
                </c:pt>
                <c:pt idx="25">
                  <c:v>397987</c:v>
                </c:pt>
              </c:numCache>
            </c:numRef>
          </c:yVal>
          <c:smooth val="0"/>
          <c:extLst>
            <c:ext xmlns:c16="http://schemas.microsoft.com/office/drawing/2014/chart" uri="{C3380CC4-5D6E-409C-BE32-E72D297353CC}">
              <c16:uniqueId val="{00000000-59EF-447A-9964-7202893D07AC}"/>
            </c:ext>
          </c:extLst>
        </c:ser>
        <c:dLbls>
          <c:showLegendKey val="0"/>
          <c:showVal val="0"/>
          <c:showCatName val="0"/>
          <c:showSerName val="0"/>
          <c:showPercent val="0"/>
          <c:showBubbleSize val="0"/>
        </c:dLbls>
        <c:axId val="38827327"/>
        <c:axId val="48631254"/>
      </c:scatterChart>
      <c:valAx>
        <c:axId val="38827327"/>
        <c:scaling>
          <c:orientation val="minMax"/>
          <c:max val="0.6"/>
        </c:scaling>
        <c:delete val="0"/>
        <c:axPos val="b"/>
        <c:title>
          <c:tx>
            <c:rich>
              <a:bodyPr rot="0"/>
              <a:lstStyle/>
              <a:p>
                <a:pPr>
                  <a:defRPr lang="en-GB" sz="1000" b="1" strike="noStrike" spc="-1">
                    <a:solidFill>
                      <a:srgbClr val="000000"/>
                    </a:solidFill>
                    <a:latin typeface="Aptos Narrow"/>
                  </a:defRPr>
                </a:pPr>
                <a:r>
                  <a:rPr lang="en-GB" sz="1000" b="1" strike="noStrike" spc="-1">
                    <a:solidFill>
                      <a:srgbClr val="000000"/>
                    </a:solidFill>
                    <a:latin typeface="Aptos Narrow"/>
                  </a:rPr>
                  <a:t>Accessory-unique threshold</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Arial"/>
              </a:defRPr>
            </a:pPr>
            <a:endParaRPr lang="en-BE"/>
          </a:p>
        </c:txPr>
        <c:crossAx val="48631254"/>
        <c:crosses val="autoZero"/>
        <c:crossBetween val="midCat"/>
      </c:valAx>
      <c:valAx>
        <c:axId val="48631254"/>
        <c:scaling>
          <c:orientation val="minMax"/>
        </c:scaling>
        <c:delete val="0"/>
        <c:axPos val="l"/>
        <c:majorGridlines>
          <c:spPr>
            <a:ln w="0">
              <a:solidFill>
                <a:srgbClr val="B3B3B3"/>
              </a:solidFill>
            </a:ln>
          </c:spPr>
        </c:majorGridlines>
        <c:title>
          <c:tx>
            <c:rich>
              <a:bodyPr rot="-5400000"/>
              <a:lstStyle/>
              <a:p>
                <a:pPr>
                  <a:defRPr lang="en-GB" sz="1000" b="1" strike="noStrike" spc="-1">
                    <a:solidFill>
                      <a:srgbClr val="000000"/>
                    </a:solidFill>
                    <a:latin typeface="Aptos Narrow"/>
                  </a:defRPr>
                </a:pPr>
                <a:r>
                  <a:rPr lang="en-GB" sz="1000" b="1" strike="noStrike" spc="-1">
                    <a:solidFill>
                      <a:srgbClr val="000000"/>
                    </a:solidFill>
                    <a:latin typeface="Aptos Narrow"/>
                  </a:rPr>
                  <a:t># uniuqe families</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Arial"/>
              </a:defRPr>
            </a:pPr>
            <a:endParaRPr lang="en-BE"/>
          </a:p>
        </c:txPr>
        <c:crossAx val="38827327"/>
        <c:crosses val="autoZero"/>
        <c:crossBetween val="midCat"/>
      </c:valAx>
      <c:spPr>
        <a:noFill/>
        <a:ln w="0">
          <a:solidFill>
            <a:srgbClr val="B3B3B3"/>
          </a:solidFill>
        </a:ln>
      </c:spPr>
    </c:plotArea>
    <c:plotVisOnly val="1"/>
    <c:dispBlanksAs val="span"/>
    <c:showDLblsOverMax val="1"/>
  </c:chart>
  <c:spPr>
    <a:solidFill>
      <a:srgbClr val="FFFFFF"/>
    </a:solidFill>
    <a:ln w="0">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GB" sz="1800" b="1" strike="noStrike" spc="-1">
                <a:solidFill>
                  <a:srgbClr val="000000"/>
                </a:solidFill>
                <a:latin typeface="Aptos Narrow"/>
              </a:defRPr>
            </a:pPr>
            <a:r>
              <a:rPr lang="en-GB" sz="1800" b="1" strike="noStrike" spc="-1">
                <a:solidFill>
                  <a:srgbClr val="000000"/>
                </a:solidFill>
                <a:latin typeface="Aptos Narrow"/>
              </a:rPr>
              <a:t>Impact of core-accessory threshold</a:t>
            </a:r>
          </a:p>
        </c:rich>
      </c:tx>
      <c:overlay val="0"/>
      <c:spPr>
        <a:noFill/>
        <a:ln w="0">
          <a:noFill/>
        </a:ln>
      </c:spPr>
    </c:title>
    <c:autoTitleDeleted val="0"/>
    <c:plotArea>
      <c:layout/>
      <c:scatterChart>
        <c:scatterStyle val="lineMarker"/>
        <c:varyColors val="0"/>
        <c:ser>
          <c:idx val="0"/>
          <c:order val="0"/>
          <c:tx>
            <c:strRef>
              <c:f>'Partitioning thresholds'!$B$25</c:f>
              <c:strCache>
                <c:ptCount val="1"/>
                <c:pt idx="0">
                  <c:v>80</c:v>
                </c:pt>
              </c:strCache>
            </c:strRef>
          </c:tx>
          <c:spPr>
            <a:ln w="28800">
              <a:solidFill>
                <a:srgbClr val="004586"/>
              </a:solidFill>
              <a:round/>
            </a:ln>
          </c:spPr>
          <c:marker>
            <c:symbol val="square"/>
            <c:size val="8"/>
            <c:spPr>
              <a:solidFill>
                <a:srgbClr val="004586"/>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'Partitioning thresholds'!$A$26:$A$38</c:f>
              <c:numCache>
                <c:formatCode>General</c:formatCode>
                <c:ptCount val="13"/>
                <c:pt idx="0">
                  <c:v>0.01</c:v>
                </c:pt>
                <c:pt idx="1">
                  <c:v>2.5000000000000001E-2</c:v>
                </c:pt>
                <c:pt idx="2">
                  <c:v>0.05</c:v>
                </c:pt>
                <c:pt idx="3">
                  <c:v>7.4999999999999997E-2</c:v>
                </c:pt>
                <c:pt idx="4">
                  <c:v>0.1</c:v>
                </c:pt>
                <c:pt idx="5">
                  <c:v>0.125</c:v>
                </c:pt>
                <c:pt idx="6">
                  <c:v>0.15</c:v>
                </c:pt>
                <c:pt idx="7">
                  <c:v>0.17499999999999999</c:v>
                </c:pt>
                <c:pt idx="8">
                  <c:v>0.2</c:v>
                </c:pt>
                <c:pt idx="9">
                  <c:v>0.22500000000000001</c:v>
                </c:pt>
                <c:pt idx="10">
                  <c:v>0.25</c:v>
                </c:pt>
                <c:pt idx="11">
                  <c:v>0.27500000000000002</c:v>
                </c:pt>
                <c:pt idx="12">
                  <c:v>0.3</c:v>
                </c:pt>
              </c:numCache>
            </c:numRef>
          </c:xVal>
          <c:yVal>
            <c:numRef>
              <c:f>'Partitioning thresholds'!$B$26:$B$38</c:f>
              <c:numCache>
                <c:formatCode>General</c:formatCode>
                <c:ptCount val="13"/>
                <c:pt idx="0">
                  <c:v>28256</c:v>
                </c:pt>
                <c:pt idx="1">
                  <c:v>12686</c:v>
                </c:pt>
                <c:pt idx="2">
                  <c:v>6945</c:v>
                </c:pt>
                <c:pt idx="3">
                  <c:v>4814</c:v>
                </c:pt>
                <c:pt idx="4">
                  <c:v>3661</c:v>
                </c:pt>
                <c:pt idx="5">
                  <c:v>2944</c:v>
                </c:pt>
                <c:pt idx="6">
                  <c:v>2442</c:v>
                </c:pt>
                <c:pt idx="7">
                  <c:v>2063</c:v>
                </c:pt>
                <c:pt idx="8">
                  <c:v>1717</c:v>
                </c:pt>
                <c:pt idx="9">
                  <c:v>1484</c:v>
                </c:pt>
                <c:pt idx="10">
                  <c:v>1304</c:v>
                </c:pt>
                <c:pt idx="11">
                  <c:v>1159</c:v>
                </c:pt>
                <c:pt idx="12">
                  <c:v>1046</c:v>
                </c:pt>
              </c:numCache>
            </c:numRef>
          </c:yVal>
          <c:smooth val="0"/>
          <c:extLst>
            <c:ext xmlns:c16="http://schemas.microsoft.com/office/drawing/2014/chart" uri="{C3380CC4-5D6E-409C-BE32-E72D297353CC}">
              <c16:uniqueId val="{00000000-D7DB-4CFE-8DA4-0558081C8C37}"/>
            </c:ext>
          </c:extLst>
        </c:ser>
        <c:ser>
          <c:idx val="1"/>
          <c:order val="1"/>
          <c:tx>
            <c:strRef>
              <c:f>'Partitioning thresholds'!$C$25</c:f>
              <c:strCache>
                <c:ptCount val="1"/>
                <c:pt idx="0">
                  <c:v>82,5</c:v>
                </c:pt>
              </c:strCache>
            </c:strRef>
          </c:tx>
          <c:spPr>
            <a:ln w="28800">
              <a:solidFill>
                <a:srgbClr val="FF420E"/>
              </a:solidFill>
              <a:round/>
            </a:ln>
          </c:spPr>
          <c:marker>
            <c:symbol val="diamond"/>
            <c:size val="8"/>
            <c:spPr>
              <a:solidFill>
                <a:srgbClr val="FF420E"/>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'Partitioning thresholds'!$A$26:$A$38</c:f>
              <c:numCache>
                <c:formatCode>General</c:formatCode>
                <c:ptCount val="13"/>
                <c:pt idx="0">
                  <c:v>0.01</c:v>
                </c:pt>
                <c:pt idx="1">
                  <c:v>2.5000000000000001E-2</c:v>
                </c:pt>
                <c:pt idx="2">
                  <c:v>0.05</c:v>
                </c:pt>
                <c:pt idx="3">
                  <c:v>7.4999999999999997E-2</c:v>
                </c:pt>
                <c:pt idx="4">
                  <c:v>0.1</c:v>
                </c:pt>
                <c:pt idx="5">
                  <c:v>0.125</c:v>
                </c:pt>
                <c:pt idx="6">
                  <c:v>0.15</c:v>
                </c:pt>
                <c:pt idx="7">
                  <c:v>0.17499999999999999</c:v>
                </c:pt>
                <c:pt idx="8">
                  <c:v>0.2</c:v>
                </c:pt>
                <c:pt idx="9">
                  <c:v>0.22500000000000001</c:v>
                </c:pt>
                <c:pt idx="10">
                  <c:v>0.25</c:v>
                </c:pt>
                <c:pt idx="11">
                  <c:v>0.27500000000000002</c:v>
                </c:pt>
                <c:pt idx="12">
                  <c:v>0.3</c:v>
                </c:pt>
              </c:numCache>
            </c:numRef>
          </c:xVal>
          <c:yVal>
            <c:numRef>
              <c:f>'Partitioning thresholds'!$C$26:$C$38</c:f>
              <c:numCache>
                <c:formatCode>General</c:formatCode>
                <c:ptCount val="13"/>
                <c:pt idx="0">
                  <c:v>28300</c:v>
                </c:pt>
                <c:pt idx="1">
                  <c:v>12730</c:v>
                </c:pt>
                <c:pt idx="2">
                  <c:v>6989</c:v>
                </c:pt>
                <c:pt idx="3">
                  <c:v>4858</c:v>
                </c:pt>
                <c:pt idx="4">
                  <c:v>3705</c:v>
                </c:pt>
                <c:pt idx="5">
                  <c:v>2988</c:v>
                </c:pt>
                <c:pt idx="6">
                  <c:v>2486</c:v>
                </c:pt>
                <c:pt idx="7">
                  <c:v>2107</c:v>
                </c:pt>
                <c:pt idx="8">
                  <c:v>1761</c:v>
                </c:pt>
                <c:pt idx="9">
                  <c:v>1528</c:v>
                </c:pt>
                <c:pt idx="10">
                  <c:v>1348</c:v>
                </c:pt>
                <c:pt idx="11">
                  <c:v>1203</c:v>
                </c:pt>
                <c:pt idx="12">
                  <c:v>1090</c:v>
                </c:pt>
              </c:numCache>
            </c:numRef>
          </c:yVal>
          <c:smooth val="0"/>
          <c:extLst>
            <c:ext xmlns:c16="http://schemas.microsoft.com/office/drawing/2014/chart" uri="{C3380CC4-5D6E-409C-BE32-E72D297353CC}">
              <c16:uniqueId val="{00000001-D7DB-4CFE-8DA4-0558081C8C37}"/>
            </c:ext>
          </c:extLst>
        </c:ser>
        <c:ser>
          <c:idx val="2"/>
          <c:order val="2"/>
          <c:tx>
            <c:strRef>
              <c:f>'Partitioning thresholds'!$D$25</c:f>
              <c:strCache>
                <c:ptCount val="1"/>
                <c:pt idx="0">
                  <c:v>85</c:v>
                </c:pt>
              </c:strCache>
            </c:strRef>
          </c:tx>
          <c:spPr>
            <a:ln w="28800">
              <a:solidFill>
                <a:srgbClr val="FFD320"/>
              </a:solidFill>
              <a:round/>
            </a:ln>
          </c:spPr>
          <c:marker>
            <c:symbol val="triangle"/>
            <c:size val="8"/>
            <c:spPr>
              <a:solidFill>
                <a:srgbClr val="FFD320"/>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'Partitioning thresholds'!$A$26:$A$38</c:f>
              <c:numCache>
                <c:formatCode>General</c:formatCode>
                <c:ptCount val="13"/>
                <c:pt idx="0">
                  <c:v>0.01</c:v>
                </c:pt>
                <c:pt idx="1">
                  <c:v>2.5000000000000001E-2</c:v>
                </c:pt>
                <c:pt idx="2">
                  <c:v>0.05</c:v>
                </c:pt>
                <c:pt idx="3">
                  <c:v>7.4999999999999997E-2</c:v>
                </c:pt>
                <c:pt idx="4">
                  <c:v>0.1</c:v>
                </c:pt>
                <c:pt idx="5">
                  <c:v>0.125</c:v>
                </c:pt>
                <c:pt idx="6">
                  <c:v>0.15</c:v>
                </c:pt>
                <c:pt idx="7">
                  <c:v>0.17499999999999999</c:v>
                </c:pt>
                <c:pt idx="8">
                  <c:v>0.2</c:v>
                </c:pt>
                <c:pt idx="9">
                  <c:v>0.22500000000000001</c:v>
                </c:pt>
                <c:pt idx="10">
                  <c:v>0.25</c:v>
                </c:pt>
                <c:pt idx="11">
                  <c:v>0.27500000000000002</c:v>
                </c:pt>
                <c:pt idx="12">
                  <c:v>0.3</c:v>
                </c:pt>
              </c:numCache>
            </c:numRef>
          </c:xVal>
          <c:yVal>
            <c:numRef>
              <c:f>'Partitioning thresholds'!$D$26:$D$38</c:f>
              <c:numCache>
                <c:formatCode>General</c:formatCode>
                <c:ptCount val="13"/>
                <c:pt idx="0">
                  <c:v>28342</c:v>
                </c:pt>
                <c:pt idx="1">
                  <c:v>12772</c:v>
                </c:pt>
                <c:pt idx="2">
                  <c:v>7031</c:v>
                </c:pt>
                <c:pt idx="3">
                  <c:v>4900</c:v>
                </c:pt>
                <c:pt idx="4">
                  <c:v>3747</c:v>
                </c:pt>
                <c:pt idx="5">
                  <c:v>3030</c:v>
                </c:pt>
                <c:pt idx="6">
                  <c:v>2528</c:v>
                </c:pt>
                <c:pt idx="7">
                  <c:v>2149</c:v>
                </c:pt>
                <c:pt idx="8">
                  <c:v>1803</c:v>
                </c:pt>
                <c:pt idx="9">
                  <c:v>1570</c:v>
                </c:pt>
                <c:pt idx="10">
                  <c:v>1390</c:v>
                </c:pt>
                <c:pt idx="11">
                  <c:v>1245</c:v>
                </c:pt>
                <c:pt idx="12">
                  <c:v>1132</c:v>
                </c:pt>
              </c:numCache>
            </c:numRef>
          </c:yVal>
          <c:smooth val="0"/>
          <c:extLst>
            <c:ext xmlns:c16="http://schemas.microsoft.com/office/drawing/2014/chart" uri="{C3380CC4-5D6E-409C-BE32-E72D297353CC}">
              <c16:uniqueId val="{00000002-D7DB-4CFE-8DA4-0558081C8C37}"/>
            </c:ext>
          </c:extLst>
        </c:ser>
        <c:ser>
          <c:idx val="3"/>
          <c:order val="3"/>
          <c:tx>
            <c:strRef>
              <c:f>'Partitioning thresholds'!$E$25</c:f>
              <c:strCache>
                <c:ptCount val="1"/>
                <c:pt idx="0">
                  <c:v>87,5</c:v>
                </c:pt>
              </c:strCache>
            </c:strRef>
          </c:tx>
          <c:spPr>
            <a:ln w="28800">
              <a:solidFill>
                <a:srgbClr val="579D1C"/>
              </a:solidFill>
              <a:round/>
            </a:ln>
          </c:spPr>
          <c:marker>
            <c:symbol val="triangle"/>
            <c:size val="8"/>
            <c:spPr>
              <a:solidFill>
                <a:srgbClr val="579D1C"/>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'Partitioning thresholds'!$A$26:$A$38</c:f>
              <c:numCache>
                <c:formatCode>General</c:formatCode>
                <c:ptCount val="13"/>
                <c:pt idx="0">
                  <c:v>0.01</c:v>
                </c:pt>
                <c:pt idx="1">
                  <c:v>2.5000000000000001E-2</c:v>
                </c:pt>
                <c:pt idx="2">
                  <c:v>0.05</c:v>
                </c:pt>
                <c:pt idx="3">
                  <c:v>7.4999999999999997E-2</c:v>
                </c:pt>
                <c:pt idx="4">
                  <c:v>0.1</c:v>
                </c:pt>
                <c:pt idx="5">
                  <c:v>0.125</c:v>
                </c:pt>
                <c:pt idx="6">
                  <c:v>0.15</c:v>
                </c:pt>
                <c:pt idx="7">
                  <c:v>0.17499999999999999</c:v>
                </c:pt>
                <c:pt idx="8">
                  <c:v>0.2</c:v>
                </c:pt>
                <c:pt idx="9">
                  <c:v>0.22500000000000001</c:v>
                </c:pt>
                <c:pt idx="10">
                  <c:v>0.25</c:v>
                </c:pt>
                <c:pt idx="11">
                  <c:v>0.27500000000000002</c:v>
                </c:pt>
                <c:pt idx="12">
                  <c:v>0.3</c:v>
                </c:pt>
              </c:numCache>
            </c:numRef>
          </c:xVal>
          <c:yVal>
            <c:numRef>
              <c:f>'Partitioning thresholds'!$E$26:$E$38</c:f>
              <c:numCache>
                <c:formatCode>General</c:formatCode>
                <c:ptCount val="13"/>
                <c:pt idx="0">
                  <c:v>28392</c:v>
                </c:pt>
                <c:pt idx="1">
                  <c:v>12822</c:v>
                </c:pt>
                <c:pt idx="2">
                  <c:v>7081</c:v>
                </c:pt>
                <c:pt idx="3">
                  <c:v>4950</c:v>
                </c:pt>
                <c:pt idx="4">
                  <c:v>3797</c:v>
                </c:pt>
                <c:pt idx="5">
                  <c:v>3080</c:v>
                </c:pt>
                <c:pt idx="6">
                  <c:v>2578</c:v>
                </c:pt>
                <c:pt idx="7">
                  <c:v>2199</c:v>
                </c:pt>
                <c:pt idx="8">
                  <c:v>1853</c:v>
                </c:pt>
                <c:pt idx="9">
                  <c:v>1620</c:v>
                </c:pt>
                <c:pt idx="10">
                  <c:v>1440</c:v>
                </c:pt>
                <c:pt idx="11">
                  <c:v>1295</c:v>
                </c:pt>
                <c:pt idx="12">
                  <c:v>1182</c:v>
                </c:pt>
              </c:numCache>
            </c:numRef>
          </c:yVal>
          <c:smooth val="0"/>
          <c:extLst>
            <c:ext xmlns:c16="http://schemas.microsoft.com/office/drawing/2014/chart" uri="{C3380CC4-5D6E-409C-BE32-E72D297353CC}">
              <c16:uniqueId val="{00000003-D7DB-4CFE-8DA4-0558081C8C37}"/>
            </c:ext>
          </c:extLst>
        </c:ser>
        <c:ser>
          <c:idx val="4"/>
          <c:order val="4"/>
          <c:tx>
            <c:strRef>
              <c:f>'Partitioning thresholds'!$F$25</c:f>
              <c:strCache>
                <c:ptCount val="1"/>
                <c:pt idx="0">
                  <c:v>90</c:v>
                </c:pt>
              </c:strCache>
            </c:strRef>
          </c:tx>
          <c:spPr>
            <a:ln w="28800">
              <a:solidFill>
                <a:srgbClr val="7E0021"/>
              </a:solidFill>
              <a:round/>
            </a:ln>
          </c:spPr>
          <c:marker>
            <c:symbol val="triangle"/>
            <c:size val="8"/>
            <c:spPr>
              <a:solidFill>
                <a:srgbClr val="7E0021"/>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'Partitioning thresholds'!$A$26:$A$38</c:f>
              <c:numCache>
                <c:formatCode>General</c:formatCode>
                <c:ptCount val="13"/>
                <c:pt idx="0">
                  <c:v>0.01</c:v>
                </c:pt>
                <c:pt idx="1">
                  <c:v>2.5000000000000001E-2</c:v>
                </c:pt>
                <c:pt idx="2">
                  <c:v>0.05</c:v>
                </c:pt>
                <c:pt idx="3">
                  <c:v>7.4999999999999997E-2</c:v>
                </c:pt>
                <c:pt idx="4">
                  <c:v>0.1</c:v>
                </c:pt>
                <c:pt idx="5">
                  <c:v>0.125</c:v>
                </c:pt>
                <c:pt idx="6">
                  <c:v>0.15</c:v>
                </c:pt>
                <c:pt idx="7">
                  <c:v>0.17499999999999999</c:v>
                </c:pt>
                <c:pt idx="8">
                  <c:v>0.2</c:v>
                </c:pt>
                <c:pt idx="9">
                  <c:v>0.22500000000000001</c:v>
                </c:pt>
                <c:pt idx="10">
                  <c:v>0.25</c:v>
                </c:pt>
                <c:pt idx="11">
                  <c:v>0.27500000000000002</c:v>
                </c:pt>
                <c:pt idx="12">
                  <c:v>0.3</c:v>
                </c:pt>
              </c:numCache>
            </c:numRef>
          </c:xVal>
          <c:yVal>
            <c:numRef>
              <c:f>'Partitioning thresholds'!$F$26:$F$38</c:f>
              <c:numCache>
                <c:formatCode>General</c:formatCode>
                <c:ptCount val="13"/>
                <c:pt idx="0">
                  <c:v>28423</c:v>
                </c:pt>
                <c:pt idx="1">
                  <c:v>12853</c:v>
                </c:pt>
                <c:pt idx="2">
                  <c:v>7112</c:v>
                </c:pt>
                <c:pt idx="3">
                  <c:v>4981</c:v>
                </c:pt>
                <c:pt idx="4">
                  <c:v>3828</c:v>
                </c:pt>
                <c:pt idx="5">
                  <c:v>3111</c:v>
                </c:pt>
                <c:pt idx="6">
                  <c:v>2609</c:v>
                </c:pt>
                <c:pt idx="7">
                  <c:v>2230</c:v>
                </c:pt>
                <c:pt idx="8">
                  <c:v>1884</c:v>
                </c:pt>
                <c:pt idx="9">
                  <c:v>1651</c:v>
                </c:pt>
                <c:pt idx="10">
                  <c:v>1471</c:v>
                </c:pt>
                <c:pt idx="11">
                  <c:v>1326</c:v>
                </c:pt>
                <c:pt idx="12">
                  <c:v>1213</c:v>
                </c:pt>
              </c:numCache>
            </c:numRef>
          </c:yVal>
          <c:smooth val="0"/>
          <c:extLst>
            <c:ext xmlns:c16="http://schemas.microsoft.com/office/drawing/2014/chart" uri="{C3380CC4-5D6E-409C-BE32-E72D297353CC}">
              <c16:uniqueId val="{00000004-D7DB-4CFE-8DA4-0558081C8C37}"/>
            </c:ext>
          </c:extLst>
        </c:ser>
        <c:ser>
          <c:idx val="5"/>
          <c:order val="5"/>
          <c:tx>
            <c:strRef>
              <c:f>'Partitioning thresholds'!$G$25</c:f>
              <c:strCache>
                <c:ptCount val="1"/>
                <c:pt idx="0">
                  <c:v>92,5</c:v>
                </c:pt>
              </c:strCache>
            </c:strRef>
          </c:tx>
          <c:spPr>
            <a:ln w="28800">
              <a:solidFill>
                <a:srgbClr val="83CAFF"/>
              </a:solidFill>
              <a:round/>
            </a:ln>
          </c:spPr>
          <c:marker>
            <c:symbol val="triangle"/>
            <c:size val="8"/>
            <c:spPr>
              <a:solidFill>
                <a:srgbClr val="83CAFF"/>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'Partitioning thresholds'!$A$26:$A$38</c:f>
              <c:numCache>
                <c:formatCode>General</c:formatCode>
                <c:ptCount val="13"/>
                <c:pt idx="0">
                  <c:v>0.01</c:v>
                </c:pt>
                <c:pt idx="1">
                  <c:v>2.5000000000000001E-2</c:v>
                </c:pt>
                <c:pt idx="2">
                  <c:v>0.05</c:v>
                </c:pt>
                <c:pt idx="3">
                  <c:v>7.4999999999999997E-2</c:v>
                </c:pt>
                <c:pt idx="4">
                  <c:v>0.1</c:v>
                </c:pt>
                <c:pt idx="5">
                  <c:v>0.125</c:v>
                </c:pt>
                <c:pt idx="6">
                  <c:v>0.15</c:v>
                </c:pt>
                <c:pt idx="7">
                  <c:v>0.17499999999999999</c:v>
                </c:pt>
                <c:pt idx="8">
                  <c:v>0.2</c:v>
                </c:pt>
                <c:pt idx="9">
                  <c:v>0.22500000000000001</c:v>
                </c:pt>
                <c:pt idx="10">
                  <c:v>0.25</c:v>
                </c:pt>
                <c:pt idx="11">
                  <c:v>0.27500000000000002</c:v>
                </c:pt>
                <c:pt idx="12">
                  <c:v>0.3</c:v>
                </c:pt>
              </c:numCache>
            </c:numRef>
          </c:xVal>
          <c:yVal>
            <c:numRef>
              <c:f>'Partitioning thresholds'!$G$26:$G$38</c:f>
              <c:numCache>
                <c:formatCode>General</c:formatCode>
                <c:ptCount val="13"/>
                <c:pt idx="0">
                  <c:v>28451</c:v>
                </c:pt>
                <c:pt idx="1">
                  <c:v>12881</c:v>
                </c:pt>
                <c:pt idx="2">
                  <c:v>7140</c:v>
                </c:pt>
                <c:pt idx="3">
                  <c:v>5009</c:v>
                </c:pt>
                <c:pt idx="4">
                  <c:v>3856</c:v>
                </c:pt>
                <c:pt idx="5">
                  <c:v>3139</c:v>
                </c:pt>
                <c:pt idx="6">
                  <c:v>2637</c:v>
                </c:pt>
                <c:pt idx="7">
                  <c:v>2258</c:v>
                </c:pt>
                <c:pt idx="8">
                  <c:v>1912</c:v>
                </c:pt>
                <c:pt idx="9">
                  <c:v>1679</c:v>
                </c:pt>
                <c:pt idx="10">
                  <c:v>1499</c:v>
                </c:pt>
                <c:pt idx="11">
                  <c:v>1354</c:v>
                </c:pt>
                <c:pt idx="12">
                  <c:v>1241</c:v>
                </c:pt>
              </c:numCache>
            </c:numRef>
          </c:yVal>
          <c:smooth val="0"/>
          <c:extLst>
            <c:ext xmlns:c16="http://schemas.microsoft.com/office/drawing/2014/chart" uri="{C3380CC4-5D6E-409C-BE32-E72D297353CC}">
              <c16:uniqueId val="{00000005-D7DB-4CFE-8DA4-0558081C8C37}"/>
            </c:ext>
          </c:extLst>
        </c:ser>
        <c:ser>
          <c:idx val="6"/>
          <c:order val="6"/>
          <c:tx>
            <c:strRef>
              <c:f>'Partitioning thresholds'!$H$25</c:f>
              <c:strCache>
                <c:ptCount val="1"/>
                <c:pt idx="0">
                  <c:v>95</c:v>
                </c:pt>
              </c:strCache>
            </c:strRef>
          </c:tx>
          <c:spPr>
            <a:ln w="28800">
              <a:solidFill>
                <a:srgbClr val="314004"/>
              </a:solidFill>
              <a:round/>
            </a:ln>
          </c:spPr>
          <c:marker>
            <c:symbol val="square"/>
            <c:size val="8"/>
            <c:spPr>
              <a:solidFill>
                <a:srgbClr val="314004"/>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'Partitioning thresholds'!$A$26:$A$38</c:f>
              <c:numCache>
                <c:formatCode>General</c:formatCode>
                <c:ptCount val="13"/>
                <c:pt idx="0">
                  <c:v>0.01</c:v>
                </c:pt>
                <c:pt idx="1">
                  <c:v>2.5000000000000001E-2</c:v>
                </c:pt>
                <c:pt idx="2">
                  <c:v>0.05</c:v>
                </c:pt>
                <c:pt idx="3">
                  <c:v>7.4999999999999997E-2</c:v>
                </c:pt>
                <c:pt idx="4">
                  <c:v>0.1</c:v>
                </c:pt>
                <c:pt idx="5">
                  <c:v>0.125</c:v>
                </c:pt>
                <c:pt idx="6">
                  <c:v>0.15</c:v>
                </c:pt>
                <c:pt idx="7">
                  <c:v>0.17499999999999999</c:v>
                </c:pt>
                <c:pt idx="8">
                  <c:v>0.2</c:v>
                </c:pt>
                <c:pt idx="9">
                  <c:v>0.22500000000000001</c:v>
                </c:pt>
                <c:pt idx="10">
                  <c:v>0.25</c:v>
                </c:pt>
                <c:pt idx="11">
                  <c:v>0.27500000000000002</c:v>
                </c:pt>
                <c:pt idx="12">
                  <c:v>0.3</c:v>
                </c:pt>
              </c:numCache>
            </c:numRef>
          </c:xVal>
          <c:yVal>
            <c:numRef>
              <c:f>'Partitioning thresholds'!$H$26:$H$38</c:f>
              <c:numCache>
                <c:formatCode>General</c:formatCode>
                <c:ptCount val="13"/>
                <c:pt idx="0">
                  <c:v>28485</c:v>
                </c:pt>
                <c:pt idx="1">
                  <c:v>12915</c:v>
                </c:pt>
                <c:pt idx="2">
                  <c:v>7174</c:v>
                </c:pt>
                <c:pt idx="3">
                  <c:v>5043</c:v>
                </c:pt>
                <c:pt idx="4">
                  <c:v>3890</c:v>
                </c:pt>
                <c:pt idx="5">
                  <c:v>3173</c:v>
                </c:pt>
                <c:pt idx="6">
                  <c:v>2671</c:v>
                </c:pt>
                <c:pt idx="7">
                  <c:v>2292</c:v>
                </c:pt>
                <c:pt idx="8">
                  <c:v>1946</c:v>
                </c:pt>
                <c:pt idx="9">
                  <c:v>1713</c:v>
                </c:pt>
                <c:pt idx="10">
                  <c:v>1533</c:v>
                </c:pt>
                <c:pt idx="11">
                  <c:v>1388</c:v>
                </c:pt>
                <c:pt idx="12">
                  <c:v>1275</c:v>
                </c:pt>
              </c:numCache>
            </c:numRef>
          </c:yVal>
          <c:smooth val="0"/>
          <c:extLst>
            <c:ext xmlns:c16="http://schemas.microsoft.com/office/drawing/2014/chart" uri="{C3380CC4-5D6E-409C-BE32-E72D297353CC}">
              <c16:uniqueId val="{00000006-D7DB-4CFE-8DA4-0558081C8C37}"/>
            </c:ext>
          </c:extLst>
        </c:ser>
        <c:ser>
          <c:idx val="7"/>
          <c:order val="7"/>
          <c:tx>
            <c:strRef>
              <c:f>'Partitioning thresholds'!$I$25</c:f>
              <c:strCache>
                <c:ptCount val="1"/>
                <c:pt idx="0">
                  <c:v>97,5</c:v>
                </c:pt>
              </c:strCache>
            </c:strRef>
          </c:tx>
          <c:spPr>
            <a:ln w="28800">
              <a:solidFill>
                <a:srgbClr val="AECF00"/>
              </a:solidFill>
              <a:round/>
            </a:ln>
          </c:spPr>
          <c:marker>
            <c:symbol val="square"/>
            <c:size val="8"/>
            <c:spPr>
              <a:solidFill>
                <a:srgbClr val="AECF00"/>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'Partitioning thresholds'!$A$26:$A$38</c:f>
              <c:numCache>
                <c:formatCode>General</c:formatCode>
                <c:ptCount val="13"/>
                <c:pt idx="0">
                  <c:v>0.01</c:v>
                </c:pt>
                <c:pt idx="1">
                  <c:v>2.5000000000000001E-2</c:v>
                </c:pt>
                <c:pt idx="2">
                  <c:v>0.05</c:v>
                </c:pt>
                <c:pt idx="3">
                  <c:v>7.4999999999999997E-2</c:v>
                </c:pt>
                <c:pt idx="4">
                  <c:v>0.1</c:v>
                </c:pt>
                <c:pt idx="5">
                  <c:v>0.125</c:v>
                </c:pt>
                <c:pt idx="6">
                  <c:v>0.15</c:v>
                </c:pt>
                <c:pt idx="7">
                  <c:v>0.17499999999999999</c:v>
                </c:pt>
                <c:pt idx="8">
                  <c:v>0.2</c:v>
                </c:pt>
                <c:pt idx="9">
                  <c:v>0.22500000000000001</c:v>
                </c:pt>
                <c:pt idx="10">
                  <c:v>0.25</c:v>
                </c:pt>
                <c:pt idx="11">
                  <c:v>0.27500000000000002</c:v>
                </c:pt>
                <c:pt idx="12">
                  <c:v>0.3</c:v>
                </c:pt>
              </c:numCache>
            </c:numRef>
          </c:xVal>
          <c:yVal>
            <c:numRef>
              <c:f>'Partitioning thresholds'!$I$26:$I$38</c:f>
              <c:numCache>
                <c:formatCode>General</c:formatCode>
                <c:ptCount val="13"/>
                <c:pt idx="0">
                  <c:v>28533</c:v>
                </c:pt>
                <c:pt idx="1">
                  <c:v>12963</c:v>
                </c:pt>
                <c:pt idx="2">
                  <c:v>7222</c:v>
                </c:pt>
                <c:pt idx="3">
                  <c:v>5091</c:v>
                </c:pt>
                <c:pt idx="4">
                  <c:v>3938</c:v>
                </c:pt>
                <c:pt idx="5">
                  <c:v>3221</c:v>
                </c:pt>
                <c:pt idx="6">
                  <c:v>2719</c:v>
                </c:pt>
                <c:pt idx="7">
                  <c:v>2340</c:v>
                </c:pt>
                <c:pt idx="8">
                  <c:v>1994</c:v>
                </c:pt>
                <c:pt idx="9">
                  <c:v>1761</c:v>
                </c:pt>
                <c:pt idx="10">
                  <c:v>1581</c:v>
                </c:pt>
                <c:pt idx="11">
                  <c:v>1436</c:v>
                </c:pt>
                <c:pt idx="12">
                  <c:v>1323</c:v>
                </c:pt>
              </c:numCache>
            </c:numRef>
          </c:yVal>
          <c:smooth val="0"/>
          <c:extLst>
            <c:ext xmlns:c16="http://schemas.microsoft.com/office/drawing/2014/chart" uri="{C3380CC4-5D6E-409C-BE32-E72D297353CC}">
              <c16:uniqueId val="{00000007-D7DB-4CFE-8DA4-0558081C8C37}"/>
            </c:ext>
          </c:extLst>
        </c:ser>
        <c:ser>
          <c:idx val="8"/>
          <c:order val="8"/>
          <c:tx>
            <c:strRef>
              <c:f>'Partitioning thresholds'!$J$25</c:f>
              <c:strCache>
                <c:ptCount val="1"/>
                <c:pt idx="0">
                  <c:v>99</c:v>
                </c:pt>
              </c:strCache>
            </c:strRef>
          </c:tx>
          <c:spPr>
            <a:ln w="28800">
              <a:solidFill>
                <a:srgbClr val="4B1F6F"/>
              </a:solidFill>
              <a:round/>
            </a:ln>
          </c:spPr>
          <c:marker>
            <c:symbol val="circle"/>
            <c:size val="8"/>
            <c:spPr>
              <a:solidFill>
                <a:srgbClr val="4B1F6F"/>
              </a:solidFill>
            </c:spPr>
          </c:marker>
          <c:dLbls>
            <c:spPr>
              <a:noFill/>
              <a:ln>
                <a:noFill/>
              </a:ln>
              <a:effectLst/>
            </c:spPr>
            <c:txPr>
              <a:bodyPr wrap="none"/>
              <a:lstStyle/>
              <a:p>
                <a:pPr>
                  <a:defRPr sz="1000" b="0" strike="noStrike" spc="-1">
                    <a:solidFill>
                      <a:srgbClr val="000000"/>
                    </a:solidFill>
                    <a:latin typeface="Arial"/>
                  </a:defRPr>
                </a:pPr>
                <a:endParaRPr lang="en-B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'Partitioning thresholds'!$A$26:$A$38</c:f>
              <c:numCache>
                <c:formatCode>General</c:formatCode>
                <c:ptCount val="13"/>
                <c:pt idx="0">
                  <c:v>0.01</c:v>
                </c:pt>
                <c:pt idx="1">
                  <c:v>2.5000000000000001E-2</c:v>
                </c:pt>
                <c:pt idx="2">
                  <c:v>0.05</c:v>
                </c:pt>
                <c:pt idx="3">
                  <c:v>7.4999999999999997E-2</c:v>
                </c:pt>
                <c:pt idx="4">
                  <c:v>0.1</c:v>
                </c:pt>
                <c:pt idx="5">
                  <c:v>0.125</c:v>
                </c:pt>
                <c:pt idx="6">
                  <c:v>0.15</c:v>
                </c:pt>
                <c:pt idx="7">
                  <c:v>0.17499999999999999</c:v>
                </c:pt>
                <c:pt idx="8">
                  <c:v>0.2</c:v>
                </c:pt>
                <c:pt idx="9">
                  <c:v>0.22500000000000001</c:v>
                </c:pt>
                <c:pt idx="10">
                  <c:v>0.25</c:v>
                </c:pt>
                <c:pt idx="11">
                  <c:v>0.27500000000000002</c:v>
                </c:pt>
                <c:pt idx="12">
                  <c:v>0.3</c:v>
                </c:pt>
              </c:numCache>
            </c:numRef>
          </c:xVal>
          <c:yVal>
            <c:numRef>
              <c:f>'Partitioning thresholds'!$J$26:$J$38</c:f>
              <c:numCache>
                <c:formatCode>General</c:formatCode>
                <c:ptCount val="13"/>
                <c:pt idx="0">
                  <c:v>28591</c:v>
                </c:pt>
                <c:pt idx="1">
                  <c:v>13021</c:v>
                </c:pt>
                <c:pt idx="2">
                  <c:v>7280</c:v>
                </c:pt>
                <c:pt idx="3">
                  <c:v>5149</c:v>
                </c:pt>
                <c:pt idx="4">
                  <c:v>3996</c:v>
                </c:pt>
                <c:pt idx="5">
                  <c:v>3279</c:v>
                </c:pt>
                <c:pt idx="6">
                  <c:v>2777</c:v>
                </c:pt>
                <c:pt idx="7">
                  <c:v>2398</c:v>
                </c:pt>
                <c:pt idx="8">
                  <c:v>2052</c:v>
                </c:pt>
                <c:pt idx="9">
                  <c:v>1819</c:v>
                </c:pt>
                <c:pt idx="10">
                  <c:v>1639</c:v>
                </c:pt>
                <c:pt idx="11">
                  <c:v>1494</c:v>
                </c:pt>
                <c:pt idx="12">
                  <c:v>1381</c:v>
                </c:pt>
              </c:numCache>
            </c:numRef>
          </c:yVal>
          <c:smooth val="0"/>
          <c:extLst>
            <c:ext xmlns:c16="http://schemas.microsoft.com/office/drawing/2014/chart" uri="{C3380CC4-5D6E-409C-BE32-E72D297353CC}">
              <c16:uniqueId val="{00000008-D7DB-4CFE-8DA4-0558081C8C37}"/>
            </c:ext>
          </c:extLst>
        </c:ser>
        <c:dLbls>
          <c:showLegendKey val="0"/>
          <c:showVal val="0"/>
          <c:showCatName val="0"/>
          <c:showSerName val="0"/>
          <c:showPercent val="0"/>
          <c:showBubbleSize val="0"/>
        </c:dLbls>
        <c:axId val="77713509"/>
        <c:axId val="58493"/>
      </c:scatterChart>
      <c:valAx>
        <c:axId val="77713509"/>
        <c:scaling>
          <c:orientation val="minMax"/>
          <c:max val="0.3"/>
        </c:scaling>
        <c:delete val="0"/>
        <c:axPos val="b"/>
        <c:title>
          <c:tx>
            <c:rich>
              <a:bodyPr rot="0"/>
              <a:lstStyle/>
              <a:p>
                <a:pPr>
                  <a:defRPr lang="en-GB" sz="1000" b="1" strike="noStrike" spc="-1">
                    <a:solidFill>
                      <a:srgbClr val="000000"/>
                    </a:solidFill>
                    <a:latin typeface="Aptos Narrow"/>
                  </a:defRPr>
                </a:pPr>
                <a:r>
                  <a:rPr lang="en-GB" sz="1000" b="1" strike="noStrike" spc="-1">
                    <a:solidFill>
                      <a:srgbClr val="000000"/>
                    </a:solidFill>
                    <a:latin typeface="Aptos Narrow"/>
                  </a:rPr>
                  <a:t>Accessory-unique threshold</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Arial"/>
              </a:defRPr>
            </a:pPr>
            <a:endParaRPr lang="en-BE"/>
          </a:p>
        </c:txPr>
        <c:crossAx val="58493"/>
        <c:crosses val="autoZero"/>
        <c:crossBetween val="midCat"/>
      </c:valAx>
      <c:valAx>
        <c:axId val="58493"/>
        <c:scaling>
          <c:orientation val="minMax"/>
        </c:scaling>
        <c:delete val="0"/>
        <c:axPos val="l"/>
        <c:majorGridlines>
          <c:spPr>
            <a:ln w="0">
              <a:solidFill>
                <a:srgbClr val="B3B3B3"/>
              </a:solidFill>
            </a:ln>
          </c:spPr>
        </c:majorGridlines>
        <c:title>
          <c:tx>
            <c:rich>
              <a:bodyPr rot="-5400000"/>
              <a:lstStyle/>
              <a:p>
                <a:pPr>
                  <a:defRPr lang="en-GB" sz="1000" b="1" strike="noStrike" spc="-1">
                    <a:solidFill>
                      <a:srgbClr val="000000"/>
                    </a:solidFill>
                    <a:latin typeface="Aptos Narrow"/>
                  </a:defRPr>
                </a:pPr>
                <a:r>
                  <a:rPr lang="en-GB" sz="1000" b="1" strike="noStrike" spc="-1">
                    <a:solidFill>
                      <a:srgbClr val="000000"/>
                    </a:solidFill>
                    <a:latin typeface="Aptos Narrow"/>
                  </a:rPr>
                  <a:t># accessory families</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Arial"/>
              </a:defRPr>
            </a:pPr>
            <a:endParaRPr lang="en-BE"/>
          </a:p>
        </c:txPr>
        <c:crossAx val="77713509"/>
        <c:crosses val="autoZero"/>
        <c:crossBetween val="midCat"/>
      </c:valAx>
      <c:spPr>
        <a:noFill/>
        <a:ln w="0">
          <a:solidFill>
            <a:srgbClr val="B3B3B3"/>
          </a:solidFill>
        </a:ln>
      </c:spPr>
    </c:plotArea>
    <c:legend>
      <c:legendPos val="r"/>
      <c:overlay val="0"/>
      <c:spPr>
        <a:noFill/>
        <a:ln w="0">
          <a:noFill/>
        </a:ln>
      </c:spPr>
      <c:txPr>
        <a:bodyPr/>
        <a:lstStyle/>
        <a:p>
          <a:pPr>
            <a:defRPr sz="1000" b="0" strike="noStrike" spc="-1">
              <a:solidFill>
                <a:srgbClr val="000000"/>
              </a:solidFill>
              <a:latin typeface="Arial"/>
            </a:defRPr>
          </a:pPr>
          <a:endParaRPr lang="en-BE"/>
        </a:p>
      </c:txPr>
    </c:legend>
    <c:plotVisOnly val="1"/>
    <c:dispBlanksAs val="span"/>
    <c:showDLblsOverMax val="1"/>
  </c:chart>
  <c:spPr>
    <a:solidFill>
      <a:srgbClr val="FFFFFF"/>
    </a:solidFill>
    <a:ln w="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70200</xdr:colOff>
      <xdr:row>1</xdr:row>
      <xdr:rowOff>133920</xdr:rowOff>
    </xdr:from>
    <xdr:to>
      <xdr:col>10</xdr:col>
      <xdr:colOff>189360</xdr:colOff>
      <xdr:row>15</xdr:row>
      <xdr:rowOff>88560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83520</xdr:colOff>
      <xdr:row>15</xdr:row>
      <xdr:rowOff>114840</xdr:rowOff>
    </xdr:from>
    <xdr:to>
      <xdr:col>10</xdr:col>
      <xdr:colOff>194760</xdr:colOff>
      <xdr:row>31</xdr:row>
      <xdr:rowOff>10080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79560</xdr:colOff>
      <xdr:row>31</xdr:row>
      <xdr:rowOff>124200</xdr:rowOff>
    </xdr:from>
    <xdr:to>
      <xdr:col>10</xdr:col>
      <xdr:colOff>230400</xdr:colOff>
      <xdr:row>46</xdr:row>
      <xdr:rowOff>55080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209520</xdr:colOff>
      <xdr:row>1</xdr:row>
      <xdr:rowOff>124200</xdr:rowOff>
    </xdr:from>
    <xdr:to>
      <xdr:col>14</xdr:col>
      <xdr:colOff>279000</xdr:colOff>
      <xdr:row>16</xdr:row>
      <xdr:rowOff>32400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218520</xdr:colOff>
      <xdr:row>15</xdr:row>
      <xdr:rowOff>153000</xdr:rowOff>
    </xdr:from>
    <xdr:to>
      <xdr:col>14</xdr:col>
      <xdr:colOff>410040</xdr:colOff>
      <xdr:row>30</xdr:row>
      <xdr:rowOff>133560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257400</xdr:colOff>
      <xdr:row>31</xdr:row>
      <xdr:rowOff>133920</xdr:rowOff>
    </xdr:from>
    <xdr:to>
      <xdr:col>14</xdr:col>
      <xdr:colOff>408240</xdr:colOff>
      <xdr:row>46</xdr:row>
      <xdr:rowOff>110880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212760</xdr:colOff>
      <xdr:row>4</xdr:row>
      <xdr:rowOff>66240</xdr:rowOff>
    </xdr:from>
    <xdr:to>
      <xdr:col>14</xdr:col>
      <xdr:colOff>265680</xdr:colOff>
      <xdr:row>22</xdr:row>
      <xdr:rowOff>66240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185040</xdr:colOff>
      <xdr:row>43</xdr:row>
      <xdr:rowOff>64800</xdr:rowOff>
    </xdr:from>
    <xdr:to>
      <xdr:col>16</xdr:col>
      <xdr:colOff>196920</xdr:colOff>
      <xdr:row>64</xdr:row>
      <xdr:rowOff>140760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217440</xdr:colOff>
      <xdr:row>22</xdr:row>
      <xdr:rowOff>103680</xdr:rowOff>
    </xdr:from>
    <xdr:to>
      <xdr:col>16</xdr:col>
      <xdr:colOff>74880</xdr:colOff>
      <xdr:row>40</xdr:row>
      <xdr:rowOff>93960</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tabSelected="1" zoomScaleNormal="100" workbookViewId="0">
      <selection activeCell="I25" sqref="I25"/>
    </sheetView>
  </sheetViews>
  <sheetFormatPr defaultColWidth="8.7109375" defaultRowHeight="12.75" x14ac:dyDescent="0.2"/>
  <cols>
    <col min="1" max="1" width="25.7109375" customWidth="1"/>
  </cols>
  <sheetData>
    <row r="1" spans="1:1" x14ac:dyDescent="0.2">
      <c r="A1" s="1" t="s">
        <v>0</v>
      </c>
    </row>
    <row r="3" spans="1:1" x14ac:dyDescent="0.2">
      <c r="A3" t="s">
        <v>1</v>
      </c>
    </row>
    <row r="4" spans="1:1" x14ac:dyDescent="0.2">
      <c r="A4" t="s">
        <v>22</v>
      </c>
    </row>
    <row r="5" spans="1:1" x14ac:dyDescent="0.2">
      <c r="A5" s="2" t="s">
        <v>23</v>
      </c>
    </row>
    <row r="6" spans="1:1" x14ac:dyDescent="0.2">
      <c r="A6" t="s">
        <v>24</v>
      </c>
    </row>
    <row r="7" spans="1:1" x14ac:dyDescent="0.2">
      <c r="A7" s="2" t="s">
        <v>25</v>
      </c>
    </row>
    <row r="9" spans="1:1" x14ac:dyDescent="0.2">
      <c r="A9" t="s">
        <v>26</v>
      </c>
    </row>
    <row r="10" spans="1:1" x14ac:dyDescent="0.2">
      <c r="A10" t="s">
        <v>2</v>
      </c>
    </row>
    <row r="11" spans="1:1" x14ac:dyDescent="0.2">
      <c r="A11" t="s">
        <v>3</v>
      </c>
    </row>
    <row r="12" spans="1:1" x14ac:dyDescent="0.2">
      <c r="A12" t="s">
        <v>27</v>
      </c>
    </row>
    <row r="14" spans="1:1" x14ac:dyDescent="0.2">
      <c r="A14" t="s">
        <v>4</v>
      </c>
    </row>
    <row r="15" spans="1:1" x14ac:dyDescent="0.2">
      <c r="A15" t="s">
        <v>5</v>
      </c>
    </row>
    <row r="16" spans="1:1" x14ac:dyDescent="0.2">
      <c r="A16" t="s">
        <v>6</v>
      </c>
    </row>
    <row r="19" spans="1:2" x14ac:dyDescent="0.2">
      <c r="A19" s="3" t="s">
        <v>28</v>
      </c>
      <c r="B19" s="4"/>
    </row>
    <row r="20" spans="1:2" x14ac:dyDescent="0.2">
      <c r="A20" s="5" t="s">
        <v>7</v>
      </c>
      <c r="B20" s="6">
        <v>0.4</v>
      </c>
    </row>
    <row r="21" spans="1:2" x14ac:dyDescent="0.2">
      <c r="A21" s="5" t="s">
        <v>8</v>
      </c>
      <c r="B21" s="6">
        <v>0.4</v>
      </c>
    </row>
    <row r="22" spans="1:2" x14ac:dyDescent="0.2">
      <c r="A22" s="5" t="s">
        <v>29</v>
      </c>
      <c r="B22" s="6">
        <v>0.9</v>
      </c>
    </row>
    <row r="23" spans="1:2" x14ac:dyDescent="0.2">
      <c r="A23" s="7" t="s">
        <v>30</v>
      </c>
      <c r="B23" s="8">
        <v>9.8999999999999999E-4</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47"/>
  <sheetViews>
    <sheetView zoomScaleNormal="100" workbookViewId="0">
      <selection activeCell="H51" activeCellId="1" sqref="H31:H32 H51"/>
    </sheetView>
  </sheetViews>
  <sheetFormatPr defaultColWidth="11.5703125" defaultRowHeight="12.75" x14ac:dyDescent="0.2"/>
  <cols>
    <col min="1" max="1" width="9.42578125" customWidth="1"/>
    <col min="2" max="5" width="7.42578125" customWidth="1"/>
    <col min="6" max="6" width="8.42578125" customWidth="1"/>
  </cols>
  <sheetData>
    <row r="2" spans="1:6" x14ac:dyDescent="0.2">
      <c r="A2" t="s">
        <v>9</v>
      </c>
      <c r="B2" t="s">
        <v>10</v>
      </c>
      <c r="C2">
        <v>0.9</v>
      </c>
    </row>
    <row r="3" spans="1:6" x14ac:dyDescent="0.2">
      <c r="B3" t="s">
        <v>11</v>
      </c>
      <c r="C3">
        <v>0.15</v>
      </c>
    </row>
    <row r="5" spans="1:6" x14ac:dyDescent="0.2">
      <c r="A5" t="s">
        <v>12</v>
      </c>
      <c r="B5" t="s">
        <v>13</v>
      </c>
    </row>
    <row r="6" spans="1:6" x14ac:dyDescent="0.2">
      <c r="A6" t="s">
        <v>14</v>
      </c>
      <c r="B6">
        <v>20</v>
      </c>
      <c r="C6">
        <v>30</v>
      </c>
      <c r="D6">
        <v>40</v>
      </c>
      <c r="E6">
        <v>50</v>
      </c>
      <c r="F6">
        <v>60</v>
      </c>
    </row>
    <row r="7" spans="1:6" x14ac:dyDescent="0.2">
      <c r="A7">
        <v>30</v>
      </c>
      <c r="B7">
        <v>361</v>
      </c>
      <c r="C7">
        <v>400</v>
      </c>
      <c r="D7">
        <v>352</v>
      </c>
      <c r="E7">
        <v>214</v>
      </c>
      <c r="F7">
        <v>99</v>
      </c>
    </row>
    <row r="8" spans="1:6" x14ac:dyDescent="0.2">
      <c r="A8">
        <v>40</v>
      </c>
      <c r="B8">
        <v>423</v>
      </c>
      <c r="C8">
        <v>446</v>
      </c>
      <c r="D8">
        <v>353</v>
      </c>
      <c r="E8">
        <v>208</v>
      </c>
      <c r="F8">
        <v>98</v>
      </c>
    </row>
    <row r="9" spans="1:6" x14ac:dyDescent="0.2">
      <c r="A9">
        <v>50</v>
      </c>
      <c r="B9">
        <v>481</v>
      </c>
      <c r="C9">
        <v>462</v>
      </c>
      <c r="D9">
        <v>344</v>
      </c>
      <c r="E9">
        <v>207</v>
      </c>
      <c r="F9">
        <v>97</v>
      </c>
    </row>
    <row r="10" spans="1:6" x14ac:dyDescent="0.2">
      <c r="A10">
        <v>60</v>
      </c>
      <c r="B10">
        <v>491</v>
      </c>
      <c r="C10">
        <v>454</v>
      </c>
      <c r="D10">
        <v>338</v>
      </c>
      <c r="E10">
        <v>208</v>
      </c>
      <c r="F10">
        <v>96</v>
      </c>
    </row>
    <row r="11" spans="1:6" x14ac:dyDescent="0.2">
      <c r="A11">
        <v>70</v>
      </c>
      <c r="B11">
        <v>484</v>
      </c>
      <c r="C11">
        <v>446</v>
      </c>
      <c r="D11">
        <v>329</v>
      </c>
      <c r="E11">
        <v>205</v>
      </c>
      <c r="F11">
        <v>94</v>
      </c>
    </row>
    <row r="18" spans="1:6" x14ac:dyDescent="0.2">
      <c r="A18" t="s">
        <v>15</v>
      </c>
      <c r="B18" t="s">
        <v>13</v>
      </c>
    </row>
    <row r="19" spans="1:6" x14ac:dyDescent="0.2">
      <c r="A19" t="s">
        <v>14</v>
      </c>
      <c r="B19">
        <v>20</v>
      </c>
      <c r="C19">
        <v>30</v>
      </c>
      <c r="D19">
        <v>40</v>
      </c>
      <c r="E19">
        <v>50</v>
      </c>
      <c r="F19">
        <v>60</v>
      </c>
    </row>
    <row r="20" spans="1:6" x14ac:dyDescent="0.2">
      <c r="A20">
        <v>30</v>
      </c>
      <c r="B20">
        <v>1673</v>
      </c>
      <c r="C20">
        <v>2082</v>
      </c>
      <c r="D20">
        <v>2466</v>
      </c>
      <c r="E20">
        <v>2381</v>
      </c>
      <c r="F20">
        <v>1774</v>
      </c>
    </row>
    <row r="21" spans="1:6" x14ac:dyDescent="0.2">
      <c r="A21">
        <v>40</v>
      </c>
      <c r="B21">
        <v>1848</v>
      </c>
      <c r="C21">
        <v>2252</v>
      </c>
      <c r="D21">
        <v>2609</v>
      </c>
      <c r="E21">
        <v>2383</v>
      </c>
      <c r="F21">
        <v>1749</v>
      </c>
    </row>
    <row r="22" spans="1:6" x14ac:dyDescent="0.2">
      <c r="A22">
        <v>50</v>
      </c>
      <c r="B22">
        <v>2083</v>
      </c>
      <c r="C22">
        <v>2489</v>
      </c>
      <c r="D22">
        <v>2713</v>
      </c>
      <c r="E22">
        <v>2368</v>
      </c>
      <c r="F22">
        <v>1736</v>
      </c>
    </row>
    <row r="23" spans="1:6" x14ac:dyDescent="0.2">
      <c r="A23">
        <v>60</v>
      </c>
      <c r="B23">
        <v>2215</v>
      </c>
      <c r="C23">
        <v>2624</v>
      </c>
      <c r="D23">
        <v>2757</v>
      </c>
      <c r="E23">
        <v>2393</v>
      </c>
      <c r="F23">
        <v>1722</v>
      </c>
    </row>
    <row r="24" spans="1:6" x14ac:dyDescent="0.2">
      <c r="A24">
        <v>70</v>
      </c>
      <c r="B24">
        <v>2338</v>
      </c>
      <c r="C24">
        <v>2664</v>
      </c>
      <c r="D24">
        <v>2746</v>
      </c>
      <c r="E24">
        <v>2361</v>
      </c>
      <c r="F24">
        <v>1718</v>
      </c>
    </row>
    <row r="34" spans="1:6" x14ac:dyDescent="0.2">
      <c r="A34" t="s">
        <v>16</v>
      </c>
      <c r="B34" t="s">
        <v>13</v>
      </c>
    </row>
    <row r="35" spans="1:6" x14ac:dyDescent="0.2">
      <c r="A35" t="s">
        <v>14</v>
      </c>
      <c r="B35">
        <v>20</v>
      </c>
      <c r="C35">
        <v>30</v>
      </c>
      <c r="D35">
        <v>40</v>
      </c>
      <c r="E35">
        <v>50</v>
      </c>
      <c r="F35">
        <v>60</v>
      </c>
    </row>
    <row r="36" spans="1:6" x14ac:dyDescent="0.2">
      <c r="A36">
        <v>30</v>
      </c>
      <c r="B36">
        <v>181522</v>
      </c>
      <c r="C36">
        <v>226413</v>
      </c>
      <c r="D36">
        <v>379165</v>
      </c>
      <c r="E36">
        <v>637713</v>
      </c>
      <c r="F36">
        <v>1002524</v>
      </c>
    </row>
    <row r="37" spans="1:6" x14ac:dyDescent="0.2">
      <c r="A37">
        <v>40</v>
      </c>
      <c r="B37">
        <v>188994</v>
      </c>
      <c r="C37">
        <v>236599</v>
      </c>
      <c r="D37">
        <v>395815</v>
      </c>
      <c r="E37">
        <v>653471</v>
      </c>
      <c r="F37">
        <v>1013463</v>
      </c>
    </row>
    <row r="38" spans="1:6" x14ac:dyDescent="0.2">
      <c r="A38">
        <v>50</v>
      </c>
      <c r="B38">
        <v>197558</v>
      </c>
      <c r="C38">
        <v>247452</v>
      </c>
      <c r="D38">
        <v>410111</v>
      </c>
      <c r="E38">
        <v>666178</v>
      </c>
      <c r="F38">
        <v>1022450</v>
      </c>
    </row>
    <row r="39" spans="1:6" x14ac:dyDescent="0.2">
      <c r="A39">
        <v>60</v>
      </c>
      <c r="B39">
        <v>210057</v>
      </c>
      <c r="C39">
        <v>261662</v>
      </c>
      <c r="D39">
        <v>425393</v>
      </c>
      <c r="E39">
        <v>679770</v>
      </c>
      <c r="F39">
        <v>1032557</v>
      </c>
    </row>
    <row r="40" spans="1:6" x14ac:dyDescent="0.2">
      <c r="A40">
        <v>70</v>
      </c>
      <c r="B40">
        <v>227141</v>
      </c>
      <c r="C40">
        <v>280075</v>
      </c>
      <c r="D40">
        <v>443756</v>
      </c>
      <c r="E40">
        <v>695562</v>
      </c>
      <c r="F40">
        <v>1043886</v>
      </c>
    </row>
    <row r="46" spans="1:6" x14ac:dyDescent="0.2">
      <c r="A46" s="9" t="s">
        <v>13</v>
      </c>
      <c r="B46" s="10">
        <v>40</v>
      </c>
    </row>
    <row r="47" spans="1:6" x14ac:dyDescent="0.2">
      <c r="A47" s="11" t="s">
        <v>14</v>
      </c>
      <c r="B47" s="12">
        <v>40</v>
      </c>
    </row>
  </sheetData>
  <conditionalFormatting sqref="B12:E16 F12:F13 F15:F16">
    <cfRule type="colorScale" priority="2">
      <colorScale>
        <cfvo type="min"/>
        <cfvo type="percentile" val="50"/>
        <cfvo type="max"/>
        <color rgb="FFFF0000"/>
        <color rgb="FFFFFF00"/>
        <color rgb="FF00A933"/>
      </colorScale>
    </cfRule>
  </conditionalFormatting>
  <conditionalFormatting sqref="B7:F11">
    <cfRule type="colorScale" priority="3">
      <colorScale>
        <cfvo type="min"/>
        <cfvo type="percentile" val="50"/>
        <cfvo type="max"/>
        <color rgb="FFFF0000"/>
        <color rgb="FFFFFF00"/>
        <color rgb="FF00A933"/>
      </colorScale>
    </cfRule>
  </conditionalFormatting>
  <conditionalFormatting sqref="B20:F24">
    <cfRule type="colorScale" priority="4">
      <colorScale>
        <cfvo type="min"/>
        <cfvo type="percentile" val="50"/>
        <cfvo type="max"/>
        <color rgb="FFFF0000"/>
        <color rgb="FFFFFF00"/>
        <color rgb="FF00A933"/>
      </colorScale>
    </cfRule>
  </conditionalFormatting>
  <conditionalFormatting sqref="B30:F32 B21:B29">
    <cfRule type="colorScale" priority="5">
      <colorScale>
        <cfvo type="min"/>
        <cfvo type="percentile" val="50"/>
        <cfvo type="max"/>
        <color rgb="FFFF0000"/>
        <color rgb="FFFFFF00"/>
        <color rgb="FF00A933"/>
      </colorScale>
    </cfRule>
  </conditionalFormatting>
  <conditionalFormatting sqref="B36:F40">
    <cfRule type="colorScale" priority="6">
      <colorScale>
        <cfvo type="min"/>
        <cfvo type="percentile" val="50"/>
        <cfvo type="max"/>
        <color rgb="FFFF0000"/>
        <color rgb="FFFFFF00"/>
        <color rgb="FF00A933"/>
      </colorScale>
    </cfRule>
  </conditionalFormatting>
  <conditionalFormatting sqref="C5:F5">
    <cfRule type="colorScale" priority="7">
      <colorScale>
        <cfvo type="min"/>
        <cfvo type="percentile" val="50"/>
        <cfvo type="max"/>
        <color rgb="FFFF0000"/>
        <color rgb="FFFFFF00"/>
        <color rgb="FF00A933"/>
      </colorScale>
    </cfRule>
    <cfRule type="colorScale" priority="8">
      <colorScale>
        <cfvo type="min"/>
        <cfvo type="percentile" val="50"/>
        <cfvo type="max"/>
        <color rgb="FFFF0000"/>
        <color rgb="FFFFFF00"/>
        <color rgb="FF00A933"/>
      </colorScale>
    </cfRule>
  </conditionalFormatting>
  <conditionalFormatting sqref="C25:G25 G22:G24">
    <cfRule type="colorScale" priority="9">
      <colorScale>
        <cfvo type="min"/>
        <cfvo type="percentile" val="50"/>
        <cfvo type="max"/>
        <color rgb="FFFF0000"/>
        <color rgb="FFFFFF00"/>
        <color rgb="FF00A933"/>
      </colorScale>
    </cfRule>
  </conditionalFormatting>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69"/>
  <sheetViews>
    <sheetView zoomScaleNormal="100" workbookViewId="0">
      <selection activeCell="G3" activeCellId="1" sqref="H31:H32 G3"/>
    </sheetView>
  </sheetViews>
  <sheetFormatPr defaultColWidth="11.5703125" defaultRowHeight="12.75" x14ac:dyDescent="0.2"/>
  <cols>
    <col min="1" max="1" width="9.85546875" customWidth="1"/>
    <col min="2" max="10" width="7.42578125" customWidth="1"/>
  </cols>
  <sheetData>
    <row r="2" spans="1:10" x14ac:dyDescent="0.2">
      <c r="A2" t="s">
        <v>17</v>
      </c>
      <c r="B2" t="s">
        <v>18</v>
      </c>
      <c r="C2">
        <v>0.4</v>
      </c>
      <c r="F2" s="9" t="s">
        <v>10</v>
      </c>
      <c r="G2" s="10">
        <v>0.9</v>
      </c>
    </row>
    <row r="3" spans="1:10" x14ac:dyDescent="0.2">
      <c r="B3" t="s">
        <v>19</v>
      </c>
      <c r="C3">
        <v>0.4</v>
      </c>
      <c r="F3" s="11" t="s">
        <v>11</v>
      </c>
      <c r="G3" s="12">
        <f>1/1010</f>
        <v>9.9009900990099011E-4</v>
      </c>
    </row>
    <row r="5" spans="1:10" x14ac:dyDescent="0.2">
      <c r="A5" t="s">
        <v>12</v>
      </c>
    </row>
    <row r="6" spans="1:10" x14ac:dyDescent="0.2">
      <c r="B6" t="s">
        <v>10</v>
      </c>
    </row>
    <row r="7" spans="1:10" x14ac:dyDescent="0.2">
      <c r="A7" t="s">
        <v>11</v>
      </c>
      <c r="B7">
        <v>80</v>
      </c>
      <c r="C7">
        <v>82.5</v>
      </c>
      <c r="D7">
        <v>85</v>
      </c>
      <c r="E7">
        <v>87.5</v>
      </c>
      <c r="F7">
        <v>90</v>
      </c>
      <c r="G7">
        <v>92.5</v>
      </c>
      <c r="H7">
        <v>95</v>
      </c>
      <c r="I7">
        <v>97.5</v>
      </c>
      <c r="J7">
        <v>99</v>
      </c>
    </row>
    <row r="8" spans="1:10" x14ac:dyDescent="0.2">
      <c r="A8">
        <v>0.01</v>
      </c>
      <c r="B8">
        <v>520</v>
      </c>
      <c r="C8">
        <v>476</v>
      </c>
      <c r="D8">
        <v>434</v>
      </c>
      <c r="E8">
        <v>384</v>
      </c>
      <c r="F8">
        <v>353</v>
      </c>
      <c r="G8">
        <v>325</v>
      </c>
      <c r="H8">
        <v>291</v>
      </c>
      <c r="I8">
        <v>243</v>
      </c>
      <c r="J8">
        <v>185</v>
      </c>
    </row>
    <row r="9" spans="1:10" x14ac:dyDescent="0.2">
      <c r="A9">
        <v>2.5000000000000001E-2</v>
      </c>
      <c r="B9">
        <v>520</v>
      </c>
      <c r="C9">
        <v>476</v>
      </c>
      <c r="D9">
        <v>434</v>
      </c>
      <c r="E9">
        <v>384</v>
      </c>
      <c r="F9">
        <v>353</v>
      </c>
      <c r="G9">
        <v>325</v>
      </c>
      <c r="H9">
        <v>291</v>
      </c>
      <c r="I9">
        <v>243</v>
      </c>
      <c r="J9">
        <v>185</v>
      </c>
    </row>
    <row r="10" spans="1:10" x14ac:dyDescent="0.2">
      <c r="A10">
        <v>0.05</v>
      </c>
      <c r="B10">
        <v>520</v>
      </c>
      <c r="C10">
        <v>476</v>
      </c>
      <c r="D10">
        <v>434</v>
      </c>
      <c r="E10">
        <v>384</v>
      </c>
      <c r="F10">
        <v>353</v>
      </c>
      <c r="G10">
        <v>325</v>
      </c>
      <c r="H10">
        <v>291</v>
      </c>
      <c r="I10">
        <v>243</v>
      </c>
      <c r="J10">
        <v>185</v>
      </c>
    </row>
    <row r="11" spans="1:10" x14ac:dyDescent="0.2">
      <c r="A11">
        <v>7.4999999999999997E-2</v>
      </c>
      <c r="B11">
        <v>520</v>
      </c>
      <c r="C11">
        <v>476</v>
      </c>
      <c r="D11">
        <v>434</v>
      </c>
      <c r="E11">
        <v>384</v>
      </c>
      <c r="F11">
        <v>353</v>
      </c>
      <c r="G11">
        <v>325</v>
      </c>
      <c r="H11">
        <v>291</v>
      </c>
      <c r="I11">
        <v>243</v>
      </c>
      <c r="J11">
        <v>185</v>
      </c>
    </row>
    <row r="12" spans="1:10" x14ac:dyDescent="0.2">
      <c r="A12">
        <v>0.1</v>
      </c>
      <c r="B12">
        <v>520</v>
      </c>
      <c r="C12">
        <v>476</v>
      </c>
      <c r="D12">
        <v>434</v>
      </c>
      <c r="E12">
        <v>384</v>
      </c>
      <c r="F12">
        <v>353</v>
      </c>
      <c r="G12">
        <v>325</v>
      </c>
      <c r="H12">
        <v>291</v>
      </c>
      <c r="I12">
        <v>243</v>
      </c>
      <c r="J12">
        <v>185</v>
      </c>
    </row>
    <row r="13" spans="1:10" x14ac:dyDescent="0.2">
      <c r="A13">
        <v>0.125</v>
      </c>
      <c r="B13">
        <v>520</v>
      </c>
      <c r="C13">
        <v>476</v>
      </c>
      <c r="D13">
        <v>434</v>
      </c>
      <c r="E13">
        <v>384</v>
      </c>
      <c r="F13">
        <v>353</v>
      </c>
      <c r="G13">
        <v>325</v>
      </c>
      <c r="H13">
        <v>291</v>
      </c>
      <c r="I13">
        <v>243</v>
      </c>
      <c r="J13">
        <v>185</v>
      </c>
    </row>
    <row r="14" spans="1:10" x14ac:dyDescent="0.2">
      <c r="A14">
        <v>0.15</v>
      </c>
      <c r="B14">
        <v>520</v>
      </c>
      <c r="C14">
        <v>476</v>
      </c>
      <c r="D14">
        <v>434</v>
      </c>
      <c r="E14">
        <v>384</v>
      </c>
      <c r="F14">
        <v>353</v>
      </c>
      <c r="G14">
        <v>325</v>
      </c>
      <c r="H14">
        <v>291</v>
      </c>
      <c r="I14">
        <v>243</v>
      </c>
      <c r="J14">
        <v>185</v>
      </c>
    </row>
    <row r="15" spans="1:10" x14ac:dyDescent="0.2">
      <c r="A15">
        <v>0.17499999999999999</v>
      </c>
      <c r="B15">
        <v>520</v>
      </c>
      <c r="C15">
        <v>476</v>
      </c>
      <c r="D15">
        <v>434</v>
      </c>
      <c r="E15">
        <v>384</v>
      </c>
      <c r="F15">
        <v>353</v>
      </c>
      <c r="G15">
        <v>325</v>
      </c>
      <c r="H15">
        <v>291</v>
      </c>
      <c r="I15">
        <v>243</v>
      </c>
      <c r="J15">
        <v>185</v>
      </c>
    </row>
    <row r="16" spans="1:10" x14ac:dyDescent="0.2">
      <c r="A16">
        <v>0.2</v>
      </c>
      <c r="B16">
        <v>520</v>
      </c>
      <c r="C16">
        <v>476</v>
      </c>
      <c r="D16">
        <v>434</v>
      </c>
      <c r="E16">
        <v>384</v>
      </c>
      <c r="F16">
        <v>353</v>
      </c>
      <c r="G16">
        <v>325</v>
      </c>
      <c r="H16">
        <v>291</v>
      </c>
      <c r="I16">
        <v>243</v>
      </c>
      <c r="J16">
        <v>185</v>
      </c>
    </row>
    <row r="17" spans="1:10" x14ac:dyDescent="0.2">
      <c r="A17">
        <v>0.22500000000000001</v>
      </c>
      <c r="B17">
        <v>520</v>
      </c>
      <c r="C17">
        <v>476</v>
      </c>
      <c r="D17">
        <v>434</v>
      </c>
      <c r="E17">
        <v>384</v>
      </c>
      <c r="F17">
        <v>353</v>
      </c>
      <c r="G17">
        <v>325</v>
      </c>
      <c r="H17">
        <v>291</v>
      </c>
      <c r="I17">
        <v>243</v>
      </c>
      <c r="J17">
        <v>185</v>
      </c>
    </row>
    <row r="18" spans="1:10" x14ac:dyDescent="0.2">
      <c r="A18">
        <v>0.25</v>
      </c>
      <c r="B18">
        <v>520</v>
      </c>
      <c r="C18">
        <v>476</v>
      </c>
      <c r="D18">
        <v>434</v>
      </c>
      <c r="E18">
        <v>384</v>
      </c>
      <c r="F18">
        <v>353</v>
      </c>
      <c r="G18">
        <v>325</v>
      </c>
      <c r="H18">
        <v>291</v>
      </c>
      <c r="I18">
        <v>243</v>
      </c>
      <c r="J18">
        <v>185</v>
      </c>
    </row>
    <row r="19" spans="1:10" x14ac:dyDescent="0.2">
      <c r="A19">
        <v>0.27500000000000002</v>
      </c>
      <c r="B19">
        <v>520</v>
      </c>
      <c r="C19">
        <v>476</v>
      </c>
      <c r="D19">
        <v>434</v>
      </c>
      <c r="E19">
        <v>384</v>
      </c>
      <c r="F19">
        <v>353</v>
      </c>
      <c r="G19">
        <v>325</v>
      </c>
      <c r="H19">
        <v>291</v>
      </c>
      <c r="I19">
        <v>243</v>
      </c>
      <c r="J19">
        <v>185</v>
      </c>
    </row>
    <row r="20" spans="1:10" x14ac:dyDescent="0.2">
      <c r="A20">
        <v>0.3</v>
      </c>
      <c r="B20">
        <v>520</v>
      </c>
      <c r="C20">
        <v>476</v>
      </c>
      <c r="D20">
        <v>434</v>
      </c>
      <c r="E20">
        <v>384</v>
      </c>
      <c r="F20">
        <v>353</v>
      </c>
      <c r="G20">
        <v>325</v>
      </c>
      <c r="H20">
        <v>291</v>
      </c>
      <c r="I20">
        <v>243</v>
      </c>
      <c r="J20">
        <v>185</v>
      </c>
    </row>
    <row r="23" spans="1:10" x14ac:dyDescent="0.2">
      <c r="A23" t="s">
        <v>20</v>
      </c>
    </row>
    <row r="24" spans="1:10" x14ac:dyDescent="0.2">
      <c r="B24" t="s">
        <v>10</v>
      </c>
    </row>
    <row r="25" spans="1:10" x14ac:dyDescent="0.2">
      <c r="A25" t="s">
        <v>11</v>
      </c>
      <c r="B25">
        <v>80</v>
      </c>
      <c r="C25">
        <v>82.5</v>
      </c>
      <c r="D25">
        <v>85</v>
      </c>
      <c r="E25">
        <v>87.5</v>
      </c>
      <c r="F25">
        <v>90</v>
      </c>
      <c r="G25">
        <v>92.5</v>
      </c>
      <c r="H25">
        <v>95</v>
      </c>
      <c r="I25">
        <v>97.5</v>
      </c>
      <c r="J25">
        <v>99</v>
      </c>
    </row>
    <row r="26" spans="1:10" x14ac:dyDescent="0.2">
      <c r="A26">
        <v>0.01</v>
      </c>
      <c r="B26">
        <v>28256</v>
      </c>
      <c r="C26">
        <v>28300</v>
      </c>
      <c r="D26">
        <v>28342</v>
      </c>
      <c r="E26">
        <v>28392</v>
      </c>
      <c r="F26">
        <v>28423</v>
      </c>
      <c r="G26">
        <v>28451</v>
      </c>
      <c r="H26">
        <v>28485</v>
      </c>
      <c r="I26">
        <v>28533</v>
      </c>
      <c r="J26">
        <v>28591</v>
      </c>
    </row>
    <row r="27" spans="1:10" x14ac:dyDescent="0.2">
      <c r="A27">
        <v>2.5000000000000001E-2</v>
      </c>
      <c r="B27">
        <v>12686</v>
      </c>
      <c r="C27">
        <v>12730</v>
      </c>
      <c r="D27">
        <v>12772</v>
      </c>
      <c r="E27">
        <v>12822</v>
      </c>
      <c r="F27">
        <v>12853</v>
      </c>
      <c r="G27">
        <v>12881</v>
      </c>
      <c r="H27">
        <v>12915</v>
      </c>
      <c r="I27">
        <v>12963</v>
      </c>
      <c r="J27">
        <v>13021</v>
      </c>
    </row>
    <row r="28" spans="1:10" x14ac:dyDescent="0.2">
      <c r="A28">
        <v>0.05</v>
      </c>
      <c r="B28">
        <v>6945</v>
      </c>
      <c r="C28">
        <v>6989</v>
      </c>
      <c r="D28">
        <v>7031</v>
      </c>
      <c r="E28">
        <v>7081</v>
      </c>
      <c r="F28">
        <v>7112</v>
      </c>
      <c r="G28">
        <v>7140</v>
      </c>
      <c r="H28">
        <v>7174</v>
      </c>
      <c r="I28">
        <v>7222</v>
      </c>
      <c r="J28">
        <v>7280</v>
      </c>
    </row>
    <row r="29" spans="1:10" x14ac:dyDescent="0.2">
      <c r="A29">
        <v>7.4999999999999997E-2</v>
      </c>
      <c r="B29">
        <v>4814</v>
      </c>
      <c r="C29">
        <v>4858</v>
      </c>
      <c r="D29">
        <v>4900</v>
      </c>
      <c r="E29">
        <v>4950</v>
      </c>
      <c r="F29">
        <v>4981</v>
      </c>
      <c r="G29">
        <v>5009</v>
      </c>
      <c r="H29">
        <v>5043</v>
      </c>
      <c r="I29">
        <v>5091</v>
      </c>
      <c r="J29">
        <v>5149</v>
      </c>
    </row>
    <row r="30" spans="1:10" x14ac:dyDescent="0.2">
      <c r="A30">
        <v>0.1</v>
      </c>
      <c r="B30">
        <v>3661</v>
      </c>
      <c r="C30">
        <v>3705</v>
      </c>
      <c r="D30">
        <v>3747</v>
      </c>
      <c r="E30">
        <v>3797</v>
      </c>
      <c r="F30">
        <v>3828</v>
      </c>
      <c r="G30">
        <v>3856</v>
      </c>
      <c r="H30">
        <v>3890</v>
      </c>
      <c r="I30">
        <v>3938</v>
      </c>
      <c r="J30">
        <v>3996</v>
      </c>
    </row>
    <row r="31" spans="1:10" x14ac:dyDescent="0.2">
      <c r="A31">
        <v>0.125</v>
      </c>
      <c r="B31">
        <v>2944</v>
      </c>
      <c r="C31">
        <v>2988</v>
      </c>
      <c r="D31">
        <v>3030</v>
      </c>
      <c r="E31">
        <v>3080</v>
      </c>
      <c r="F31">
        <v>3111</v>
      </c>
      <c r="G31">
        <v>3139</v>
      </c>
      <c r="H31">
        <v>3173</v>
      </c>
      <c r="I31">
        <v>3221</v>
      </c>
      <c r="J31">
        <v>3279</v>
      </c>
    </row>
    <row r="32" spans="1:10" x14ac:dyDescent="0.2">
      <c r="A32">
        <v>0.15</v>
      </c>
      <c r="B32">
        <v>2442</v>
      </c>
      <c r="C32">
        <v>2486</v>
      </c>
      <c r="D32">
        <v>2528</v>
      </c>
      <c r="E32">
        <v>2578</v>
      </c>
      <c r="F32">
        <v>2609</v>
      </c>
      <c r="G32">
        <v>2637</v>
      </c>
      <c r="H32">
        <v>2671</v>
      </c>
      <c r="I32">
        <v>2719</v>
      </c>
      <c r="J32">
        <v>2777</v>
      </c>
    </row>
    <row r="33" spans="1:10" x14ac:dyDescent="0.2">
      <c r="A33">
        <v>0.17499999999999999</v>
      </c>
      <c r="B33">
        <v>2063</v>
      </c>
      <c r="C33">
        <v>2107</v>
      </c>
      <c r="D33">
        <v>2149</v>
      </c>
      <c r="E33">
        <v>2199</v>
      </c>
      <c r="F33">
        <v>2230</v>
      </c>
      <c r="G33">
        <v>2258</v>
      </c>
      <c r="H33">
        <v>2292</v>
      </c>
      <c r="I33">
        <v>2340</v>
      </c>
      <c r="J33">
        <v>2398</v>
      </c>
    </row>
    <row r="34" spans="1:10" x14ac:dyDescent="0.2">
      <c r="A34">
        <v>0.2</v>
      </c>
      <c r="B34">
        <v>1717</v>
      </c>
      <c r="C34">
        <v>1761</v>
      </c>
      <c r="D34">
        <v>1803</v>
      </c>
      <c r="E34">
        <v>1853</v>
      </c>
      <c r="F34">
        <v>1884</v>
      </c>
      <c r="G34">
        <v>1912</v>
      </c>
      <c r="H34">
        <v>1946</v>
      </c>
      <c r="I34">
        <v>1994</v>
      </c>
      <c r="J34">
        <v>2052</v>
      </c>
    </row>
    <row r="35" spans="1:10" x14ac:dyDescent="0.2">
      <c r="A35">
        <v>0.22500000000000001</v>
      </c>
      <c r="B35">
        <v>1484</v>
      </c>
      <c r="C35">
        <v>1528</v>
      </c>
      <c r="D35">
        <v>1570</v>
      </c>
      <c r="E35">
        <v>1620</v>
      </c>
      <c r="F35">
        <v>1651</v>
      </c>
      <c r="G35">
        <v>1679</v>
      </c>
      <c r="H35">
        <v>1713</v>
      </c>
      <c r="I35">
        <v>1761</v>
      </c>
      <c r="J35">
        <v>1819</v>
      </c>
    </row>
    <row r="36" spans="1:10" x14ac:dyDescent="0.2">
      <c r="A36">
        <v>0.25</v>
      </c>
      <c r="B36">
        <v>1304</v>
      </c>
      <c r="C36">
        <v>1348</v>
      </c>
      <c r="D36">
        <v>1390</v>
      </c>
      <c r="E36">
        <v>1440</v>
      </c>
      <c r="F36">
        <v>1471</v>
      </c>
      <c r="G36">
        <v>1499</v>
      </c>
      <c r="H36">
        <v>1533</v>
      </c>
      <c r="I36">
        <v>1581</v>
      </c>
      <c r="J36">
        <v>1639</v>
      </c>
    </row>
    <row r="37" spans="1:10" x14ac:dyDescent="0.2">
      <c r="A37">
        <v>0.27500000000000002</v>
      </c>
      <c r="B37">
        <v>1159</v>
      </c>
      <c r="C37">
        <v>1203</v>
      </c>
      <c r="D37">
        <v>1245</v>
      </c>
      <c r="E37">
        <v>1295</v>
      </c>
      <c r="F37">
        <v>1326</v>
      </c>
      <c r="G37">
        <v>1354</v>
      </c>
      <c r="H37">
        <v>1388</v>
      </c>
      <c r="I37">
        <v>1436</v>
      </c>
      <c r="J37">
        <v>1494</v>
      </c>
    </row>
    <row r="38" spans="1:10" x14ac:dyDescent="0.2">
      <c r="A38">
        <v>0.3</v>
      </c>
      <c r="B38">
        <v>1046</v>
      </c>
      <c r="C38">
        <v>1090</v>
      </c>
      <c r="D38">
        <v>1132</v>
      </c>
      <c r="E38">
        <v>1182</v>
      </c>
      <c r="F38">
        <v>1213</v>
      </c>
      <c r="G38">
        <v>1241</v>
      </c>
      <c r="H38">
        <v>1275</v>
      </c>
      <c r="I38">
        <v>1323</v>
      </c>
      <c r="J38">
        <v>1381</v>
      </c>
    </row>
    <row r="41" spans="1:10" x14ac:dyDescent="0.2">
      <c r="A41" t="s">
        <v>21</v>
      </c>
    </row>
    <row r="42" spans="1:10" x14ac:dyDescent="0.2">
      <c r="B42" t="s">
        <v>10</v>
      </c>
    </row>
    <row r="43" spans="1:10" x14ac:dyDescent="0.2">
      <c r="A43" t="s">
        <v>11</v>
      </c>
      <c r="B43">
        <v>80</v>
      </c>
      <c r="C43">
        <v>82.5</v>
      </c>
      <c r="D43">
        <v>85</v>
      </c>
      <c r="E43">
        <v>87.5</v>
      </c>
      <c r="F43">
        <v>90</v>
      </c>
      <c r="G43">
        <v>92.5</v>
      </c>
      <c r="H43">
        <v>95</v>
      </c>
      <c r="I43">
        <v>97.5</v>
      </c>
      <c r="J43">
        <v>99</v>
      </c>
    </row>
    <row r="44" spans="1:10" x14ac:dyDescent="0.2">
      <c r="A44">
        <v>1E-3</v>
      </c>
      <c r="B44">
        <v>239797</v>
      </c>
      <c r="C44">
        <v>239797</v>
      </c>
      <c r="D44">
        <v>239797</v>
      </c>
      <c r="E44">
        <v>239797</v>
      </c>
      <c r="F44">
        <v>239797</v>
      </c>
      <c r="G44">
        <v>239797</v>
      </c>
      <c r="H44">
        <v>239797</v>
      </c>
      <c r="I44">
        <v>239797</v>
      </c>
      <c r="J44">
        <v>239797</v>
      </c>
    </row>
    <row r="45" spans="1:10" x14ac:dyDescent="0.2">
      <c r="A45">
        <v>0.01</v>
      </c>
      <c r="B45">
        <v>370001</v>
      </c>
      <c r="C45">
        <v>370001</v>
      </c>
      <c r="D45">
        <v>370001</v>
      </c>
      <c r="E45">
        <v>370001</v>
      </c>
      <c r="F45">
        <v>370001</v>
      </c>
      <c r="G45">
        <v>370001</v>
      </c>
      <c r="H45">
        <v>370001</v>
      </c>
      <c r="I45">
        <v>370001</v>
      </c>
      <c r="J45">
        <v>370001</v>
      </c>
    </row>
    <row r="46" spans="1:10" x14ac:dyDescent="0.2">
      <c r="A46">
        <v>2.5000000000000001E-2</v>
      </c>
      <c r="B46">
        <v>385571</v>
      </c>
      <c r="C46">
        <v>385571</v>
      </c>
      <c r="D46">
        <v>385571</v>
      </c>
      <c r="E46">
        <v>385571</v>
      </c>
      <c r="F46">
        <v>385571</v>
      </c>
      <c r="G46">
        <v>385571</v>
      </c>
      <c r="H46">
        <v>385571</v>
      </c>
      <c r="I46">
        <v>385571</v>
      </c>
      <c r="J46">
        <v>385571</v>
      </c>
    </row>
    <row r="47" spans="1:10" x14ac:dyDescent="0.2">
      <c r="A47">
        <v>0.05</v>
      </c>
      <c r="B47">
        <v>391312</v>
      </c>
      <c r="C47">
        <v>391312</v>
      </c>
      <c r="D47">
        <v>391312</v>
      </c>
      <c r="E47">
        <v>391312</v>
      </c>
      <c r="F47">
        <v>391312</v>
      </c>
      <c r="G47">
        <v>391312</v>
      </c>
      <c r="H47">
        <v>391312</v>
      </c>
      <c r="I47">
        <v>391312</v>
      </c>
      <c r="J47">
        <v>391312</v>
      </c>
    </row>
    <row r="48" spans="1:10" x14ac:dyDescent="0.2">
      <c r="A48">
        <v>7.4999999999999997E-2</v>
      </c>
      <c r="B48">
        <v>393443</v>
      </c>
      <c r="C48">
        <v>393443</v>
      </c>
      <c r="D48">
        <v>393443</v>
      </c>
      <c r="E48">
        <v>393443</v>
      </c>
      <c r="F48">
        <v>393443</v>
      </c>
      <c r="G48">
        <v>393443</v>
      </c>
      <c r="H48">
        <v>393443</v>
      </c>
      <c r="I48">
        <v>393443</v>
      </c>
      <c r="J48">
        <v>393443</v>
      </c>
    </row>
    <row r="49" spans="1:10" x14ac:dyDescent="0.2">
      <c r="A49">
        <v>0.1</v>
      </c>
      <c r="B49">
        <v>394596</v>
      </c>
      <c r="C49">
        <v>394596</v>
      </c>
      <c r="D49">
        <v>394596</v>
      </c>
      <c r="E49">
        <v>394596</v>
      </c>
      <c r="F49">
        <v>394596</v>
      </c>
      <c r="G49">
        <v>394596</v>
      </c>
      <c r="H49">
        <v>394596</v>
      </c>
      <c r="I49">
        <v>394596</v>
      </c>
      <c r="J49">
        <v>394596</v>
      </c>
    </row>
    <row r="50" spans="1:10" x14ac:dyDescent="0.2">
      <c r="A50">
        <v>0.125</v>
      </c>
      <c r="B50">
        <v>395313</v>
      </c>
      <c r="C50">
        <v>395313</v>
      </c>
      <c r="D50">
        <v>395313</v>
      </c>
      <c r="E50">
        <v>395313</v>
      </c>
      <c r="F50">
        <v>395313</v>
      </c>
      <c r="G50">
        <v>395313</v>
      </c>
      <c r="H50">
        <v>395313</v>
      </c>
      <c r="I50">
        <v>395313</v>
      </c>
      <c r="J50">
        <v>395313</v>
      </c>
    </row>
    <row r="51" spans="1:10" x14ac:dyDescent="0.2">
      <c r="A51">
        <v>0.15</v>
      </c>
      <c r="B51">
        <v>395815</v>
      </c>
      <c r="C51">
        <v>395815</v>
      </c>
      <c r="D51">
        <v>395815</v>
      </c>
      <c r="E51">
        <v>395815</v>
      </c>
      <c r="F51">
        <v>395815</v>
      </c>
      <c r="G51">
        <v>395815</v>
      </c>
      <c r="H51">
        <v>395815</v>
      </c>
      <c r="I51">
        <v>395815</v>
      </c>
      <c r="J51">
        <v>395815</v>
      </c>
    </row>
    <row r="52" spans="1:10" x14ac:dyDescent="0.2">
      <c r="A52">
        <v>0.17499999999999999</v>
      </c>
      <c r="B52">
        <v>396194</v>
      </c>
      <c r="C52">
        <v>396194</v>
      </c>
      <c r="D52">
        <v>396194</v>
      </c>
      <c r="E52">
        <v>396194</v>
      </c>
      <c r="F52">
        <v>396194</v>
      </c>
      <c r="G52">
        <v>396194</v>
      </c>
      <c r="H52">
        <v>396194</v>
      </c>
      <c r="I52">
        <v>396194</v>
      </c>
      <c r="J52">
        <v>396194</v>
      </c>
    </row>
    <row r="53" spans="1:10" x14ac:dyDescent="0.2">
      <c r="A53">
        <v>0.2</v>
      </c>
      <c r="B53">
        <v>396540</v>
      </c>
      <c r="C53">
        <v>396540</v>
      </c>
      <c r="D53">
        <v>396540</v>
      </c>
      <c r="E53">
        <v>396540</v>
      </c>
      <c r="F53">
        <v>396540</v>
      </c>
      <c r="G53">
        <v>396540</v>
      </c>
      <c r="H53">
        <v>396540</v>
      </c>
      <c r="I53">
        <v>396540</v>
      </c>
      <c r="J53">
        <v>396540</v>
      </c>
    </row>
    <row r="54" spans="1:10" x14ac:dyDescent="0.2">
      <c r="A54">
        <v>0.22500000000000001</v>
      </c>
      <c r="B54">
        <v>396773</v>
      </c>
      <c r="C54">
        <v>396773</v>
      </c>
      <c r="D54">
        <v>396773</v>
      </c>
      <c r="E54">
        <v>396773</v>
      </c>
      <c r="F54">
        <v>396773</v>
      </c>
      <c r="G54">
        <v>396773</v>
      </c>
      <c r="H54">
        <v>396773</v>
      </c>
      <c r="I54">
        <v>396773</v>
      </c>
      <c r="J54">
        <v>396773</v>
      </c>
    </row>
    <row r="55" spans="1:10" x14ac:dyDescent="0.2">
      <c r="A55">
        <v>0.25</v>
      </c>
      <c r="B55">
        <v>396953</v>
      </c>
      <c r="C55">
        <v>396953</v>
      </c>
      <c r="D55">
        <v>396953</v>
      </c>
      <c r="E55">
        <v>396953</v>
      </c>
      <c r="F55">
        <v>396953</v>
      </c>
      <c r="G55">
        <v>396953</v>
      </c>
      <c r="H55">
        <v>396953</v>
      </c>
      <c r="I55">
        <v>396953</v>
      </c>
      <c r="J55">
        <v>396953</v>
      </c>
    </row>
    <row r="56" spans="1:10" x14ac:dyDescent="0.2">
      <c r="A56">
        <v>0.27500000000000002</v>
      </c>
      <c r="B56">
        <v>397098</v>
      </c>
      <c r="C56">
        <v>397098</v>
      </c>
      <c r="D56">
        <v>397098</v>
      </c>
      <c r="E56">
        <v>397098</v>
      </c>
      <c r="F56">
        <v>397098</v>
      </c>
      <c r="G56">
        <v>397098</v>
      </c>
      <c r="H56">
        <v>397098</v>
      </c>
      <c r="I56">
        <v>397098</v>
      </c>
      <c r="J56">
        <v>397098</v>
      </c>
    </row>
    <row r="57" spans="1:10" x14ac:dyDescent="0.2">
      <c r="A57">
        <v>0.3</v>
      </c>
      <c r="B57">
        <v>397211</v>
      </c>
      <c r="C57">
        <v>397211</v>
      </c>
      <c r="D57">
        <v>397211</v>
      </c>
      <c r="E57">
        <v>397211</v>
      </c>
      <c r="F57">
        <v>397211</v>
      </c>
      <c r="G57">
        <v>397211</v>
      </c>
      <c r="H57">
        <v>397211</v>
      </c>
      <c r="I57">
        <v>397211</v>
      </c>
      <c r="J57">
        <v>397211</v>
      </c>
    </row>
    <row r="58" spans="1:10" x14ac:dyDescent="0.2">
      <c r="A58">
        <v>0.32500000000000001</v>
      </c>
      <c r="B58">
        <v>397338</v>
      </c>
      <c r="C58">
        <v>397338</v>
      </c>
      <c r="D58">
        <v>397338</v>
      </c>
      <c r="E58">
        <v>397338</v>
      </c>
      <c r="F58">
        <v>397338</v>
      </c>
      <c r="G58">
        <v>397338</v>
      </c>
      <c r="H58">
        <v>397338</v>
      </c>
      <c r="I58">
        <v>397338</v>
      </c>
      <c r="J58">
        <v>397338</v>
      </c>
    </row>
    <row r="59" spans="1:10" x14ac:dyDescent="0.2">
      <c r="A59">
        <v>0.35</v>
      </c>
      <c r="B59">
        <v>397429</v>
      </c>
      <c r="C59">
        <v>397429</v>
      </c>
      <c r="D59">
        <v>397429</v>
      </c>
      <c r="E59">
        <v>397429</v>
      </c>
      <c r="F59">
        <v>397429</v>
      </c>
      <c r="G59">
        <v>397429</v>
      </c>
      <c r="H59">
        <v>397429</v>
      </c>
      <c r="I59">
        <v>397429</v>
      </c>
      <c r="J59">
        <v>397429</v>
      </c>
    </row>
    <row r="60" spans="1:10" x14ac:dyDescent="0.2">
      <c r="A60">
        <v>0.375</v>
      </c>
      <c r="B60">
        <v>397521</v>
      </c>
      <c r="C60">
        <v>397521</v>
      </c>
      <c r="D60">
        <v>397521</v>
      </c>
      <c r="E60">
        <v>397521</v>
      </c>
      <c r="F60">
        <v>397521</v>
      </c>
      <c r="G60">
        <v>397521</v>
      </c>
      <c r="H60">
        <v>397521</v>
      </c>
      <c r="I60">
        <v>397521</v>
      </c>
      <c r="J60">
        <v>397521</v>
      </c>
    </row>
    <row r="61" spans="1:10" x14ac:dyDescent="0.2">
      <c r="A61">
        <v>0.4</v>
      </c>
      <c r="B61">
        <v>397597</v>
      </c>
      <c r="C61">
        <v>397597</v>
      </c>
      <c r="D61">
        <v>397597</v>
      </c>
      <c r="E61">
        <v>397597</v>
      </c>
      <c r="F61">
        <v>397597</v>
      </c>
      <c r="G61">
        <v>397597</v>
      </c>
      <c r="H61">
        <v>397597</v>
      </c>
      <c r="I61">
        <v>397597</v>
      </c>
      <c r="J61">
        <v>397597</v>
      </c>
    </row>
    <row r="62" spans="1:10" x14ac:dyDescent="0.2">
      <c r="A62">
        <v>0.42499999999999999</v>
      </c>
      <c r="B62">
        <v>397672</v>
      </c>
      <c r="C62">
        <v>397672</v>
      </c>
      <c r="D62">
        <v>397672</v>
      </c>
      <c r="E62">
        <v>397672</v>
      </c>
      <c r="F62">
        <v>397672</v>
      </c>
      <c r="G62">
        <v>397672</v>
      </c>
      <c r="H62">
        <v>397672</v>
      </c>
      <c r="I62">
        <v>397672</v>
      </c>
      <c r="J62">
        <v>397672</v>
      </c>
    </row>
    <row r="63" spans="1:10" x14ac:dyDescent="0.2">
      <c r="A63">
        <v>0.45</v>
      </c>
      <c r="B63">
        <v>397732</v>
      </c>
      <c r="C63">
        <v>397732</v>
      </c>
      <c r="D63">
        <v>397732</v>
      </c>
      <c r="E63">
        <v>397732</v>
      </c>
      <c r="F63">
        <v>397732</v>
      </c>
      <c r="G63">
        <v>397732</v>
      </c>
      <c r="H63">
        <v>397732</v>
      </c>
      <c r="I63">
        <v>397732</v>
      </c>
      <c r="J63">
        <v>397732</v>
      </c>
    </row>
    <row r="64" spans="1:10" x14ac:dyDescent="0.2">
      <c r="A64">
        <v>0.47499999999999998</v>
      </c>
      <c r="B64">
        <v>397776</v>
      </c>
      <c r="C64">
        <v>397776</v>
      </c>
      <c r="D64">
        <v>397776</v>
      </c>
      <c r="E64">
        <v>397776</v>
      </c>
      <c r="F64">
        <v>397776</v>
      </c>
      <c r="G64">
        <v>397776</v>
      </c>
      <c r="H64">
        <v>397776</v>
      </c>
      <c r="I64">
        <v>397776</v>
      </c>
      <c r="J64">
        <v>397776</v>
      </c>
    </row>
    <row r="65" spans="1:10" x14ac:dyDescent="0.2">
      <c r="A65">
        <v>0.5</v>
      </c>
      <c r="B65">
        <v>397822</v>
      </c>
      <c r="C65">
        <v>397822</v>
      </c>
      <c r="D65">
        <v>397822</v>
      </c>
      <c r="E65">
        <v>397822</v>
      </c>
      <c r="F65">
        <v>397822</v>
      </c>
      <c r="G65">
        <v>397822</v>
      </c>
      <c r="H65">
        <v>397822</v>
      </c>
      <c r="I65">
        <v>397822</v>
      </c>
      <c r="J65">
        <v>397822</v>
      </c>
    </row>
    <row r="66" spans="1:10" x14ac:dyDescent="0.2">
      <c r="A66">
        <v>0.52500000000000002</v>
      </c>
      <c r="B66">
        <v>397857</v>
      </c>
      <c r="C66">
        <v>397857</v>
      </c>
      <c r="D66">
        <v>397857</v>
      </c>
      <c r="E66">
        <v>397857</v>
      </c>
      <c r="F66">
        <v>397857</v>
      </c>
      <c r="G66">
        <v>397857</v>
      </c>
      <c r="H66">
        <v>397857</v>
      </c>
      <c r="I66">
        <v>397857</v>
      </c>
      <c r="J66">
        <v>397857</v>
      </c>
    </row>
    <row r="67" spans="1:10" x14ac:dyDescent="0.2">
      <c r="A67">
        <v>0.55000000000000004</v>
      </c>
      <c r="B67">
        <v>397905</v>
      </c>
      <c r="C67">
        <v>397905</v>
      </c>
      <c r="D67">
        <v>397905</v>
      </c>
      <c r="E67">
        <v>397905</v>
      </c>
      <c r="F67">
        <v>397905</v>
      </c>
      <c r="G67">
        <v>397905</v>
      </c>
      <c r="H67">
        <v>397905</v>
      </c>
      <c r="I67">
        <v>397905</v>
      </c>
      <c r="J67">
        <v>397905</v>
      </c>
    </row>
    <row r="68" spans="1:10" x14ac:dyDescent="0.2">
      <c r="A68">
        <v>0.57499999999999996</v>
      </c>
      <c r="B68">
        <v>397947</v>
      </c>
      <c r="C68">
        <v>397947</v>
      </c>
      <c r="D68">
        <v>397947</v>
      </c>
      <c r="E68">
        <v>397947</v>
      </c>
      <c r="F68">
        <v>397947</v>
      </c>
      <c r="G68">
        <v>397947</v>
      </c>
      <c r="H68">
        <v>397947</v>
      </c>
      <c r="I68">
        <v>397947</v>
      </c>
      <c r="J68">
        <v>397947</v>
      </c>
    </row>
    <row r="69" spans="1:10" x14ac:dyDescent="0.2">
      <c r="A69">
        <v>0.6</v>
      </c>
      <c r="B69">
        <v>397987</v>
      </c>
      <c r="C69">
        <v>397987</v>
      </c>
      <c r="D69">
        <v>397987</v>
      </c>
      <c r="E69">
        <v>397987</v>
      </c>
      <c r="F69">
        <v>397987</v>
      </c>
      <c r="G69">
        <v>397987</v>
      </c>
      <c r="H69">
        <v>397987</v>
      </c>
      <c r="I69">
        <v>397987</v>
      </c>
      <c r="J69">
        <v>397987</v>
      </c>
    </row>
  </sheetData>
  <conditionalFormatting sqref="B8:J20">
    <cfRule type="colorScale" priority="2">
      <colorScale>
        <cfvo type="min"/>
        <cfvo type="percentile" val="50"/>
        <cfvo type="max"/>
        <color rgb="FFFF0000"/>
        <color rgb="FFFFFF00"/>
        <color rgb="FF00A933"/>
      </colorScale>
    </cfRule>
  </conditionalFormatting>
  <conditionalFormatting sqref="B26:J38">
    <cfRule type="colorScale" priority="3">
      <colorScale>
        <cfvo type="min"/>
        <cfvo type="percentile" val="75"/>
        <cfvo type="max"/>
        <color rgb="FFFF0000"/>
        <color rgb="FFFFFF00"/>
        <color rgb="FF00A933"/>
      </colorScale>
    </cfRule>
  </conditionalFormatting>
  <conditionalFormatting sqref="B44:J69">
    <cfRule type="colorScale" priority="4">
      <colorScale>
        <cfvo type="min"/>
        <cfvo type="percentile" val="50"/>
        <cfvo type="max"/>
        <color rgb="FFFF0000"/>
        <color rgb="FFFFFF00"/>
        <color rgb="FF00A933"/>
      </colorScale>
    </cfRule>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2119</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Clustering thresholds</vt:lpstr>
      <vt:lpstr>Partitioning thresholds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Lucas De Vrieze</cp:lastModifiedBy>
  <cp:revision>61</cp:revision>
  <dcterms:created xsi:type="dcterms:W3CDTF">2025-05-13T11:53:12Z</dcterms:created>
  <dcterms:modified xsi:type="dcterms:W3CDTF">2026-08-03T14:21:57Z</dcterms:modified>
  <dc:language>en-US</dc:language>
</cp:coreProperties>
</file>