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hD\writings\papers_2025\ClosHomer_paper2\"/>
    </mc:Choice>
  </mc:AlternateContent>
  <xr:revisionPtr revIDLastSave="0" documentId="13_ncr:1_{E8E6A762-2CEF-4B55-BA18-4054673367A0}" xr6:coauthVersionLast="47" xr6:coauthVersionMax="47" xr10:uidLastSave="{00000000-0000-0000-0000-000000000000}"/>
  <bookViews>
    <workbookView xWindow="-120" yWindow="-120" windowWidth="29025" windowHeight="17610" tabRatio="500" xr2:uid="{00000000-000D-0000-FFFF-FFFF00000000}"/>
  </bookViews>
  <sheets>
    <sheet name="Clostridiales" sheetId="2" r:id="rId1"/>
    <sheet name="Clostridium sensu stricto" sheetId="3" r:id="rId2"/>
    <sheet name="Lachnospirales" sheetId="4" r:id="rId3"/>
    <sheet name="Clostridium_XIVa" sheetId="5" r:id="rId4"/>
    <sheet name="Oscillospirales" sheetId="6" r:id="rId5"/>
    <sheet name="Oscillospirales_direct_ancestor" sheetId="7" r:id="rId6"/>
    <sheet name="Peptostreptococcales" sheetId="8" r:id="rId7"/>
    <sheet name="Peptostreptococcales_ancestor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M12" i="9" l="1"/>
  <c r="M11" i="9"/>
  <c r="M10" i="9"/>
  <c r="I10" i="9"/>
  <c r="M9" i="9"/>
  <c r="I9" i="9"/>
  <c r="M8" i="9"/>
  <c r="I8" i="9"/>
  <c r="M7" i="9"/>
  <c r="I7" i="9"/>
  <c r="M6" i="9"/>
  <c r="I6" i="9"/>
  <c r="M5" i="9"/>
  <c r="I5" i="9"/>
  <c r="M4" i="9"/>
  <c r="I4" i="9"/>
  <c r="M3" i="9"/>
  <c r="I3" i="9"/>
  <c r="C17" i="8"/>
  <c r="C16" i="8"/>
  <c r="C15" i="8"/>
  <c r="C14" i="8"/>
  <c r="C13" i="8"/>
  <c r="C12" i="8"/>
  <c r="C11" i="8"/>
  <c r="C10" i="8"/>
  <c r="C9" i="8"/>
  <c r="C8" i="8"/>
  <c r="G7" i="8"/>
  <c r="C7" i="8"/>
  <c r="G6" i="8"/>
  <c r="C6" i="8"/>
  <c r="G5" i="8"/>
  <c r="C5" i="8"/>
  <c r="G4" i="8"/>
  <c r="C4" i="8"/>
  <c r="G3" i="8"/>
  <c r="C3" i="8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C10" i="7"/>
  <c r="G9" i="7"/>
  <c r="C9" i="7"/>
  <c r="G8" i="7"/>
  <c r="C8" i="7"/>
  <c r="G7" i="7"/>
  <c r="C7" i="7"/>
  <c r="G6" i="7"/>
  <c r="C6" i="7"/>
  <c r="G5" i="7"/>
  <c r="C5" i="7"/>
  <c r="G4" i="7"/>
  <c r="C4" i="7"/>
  <c r="G3" i="7"/>
  <c r="C3" i="7"/>
  <c r="C19" i="6"/>
  <c r="C18" i="6"/>
  <c r="C17" i="6"/>
  <c r="C16" i="6"/>
  <c r="C15" i="6"/>
  <c r="C14" i="6"/>
  <c r="G13" i="6"/>
  <c r="C13" i="6"/>
  <c r="G12" i="6"/>
  <c r="C12" i="6"/>
  <c r="G11" i="6"/>
  <c r="C11" i="6"/>
  <c r="G10" i="6"/>
  <c r="C10" i="6"/>
  <c r="G9" i="6"/>
  <c r="C9" i="6"/>
  <c r="G8" i="6"/>
  <c r="C8" i="6"/>
  <c r="G7" i="6"/>
  <c r="C7" i="6"/>
  <c r="G6" i="6"/>
  <c r="C6" i="6"/>
  <c r="G5" i="6"/>
  <c r="C5" i="6"/>
  <c r="G4" i="6"/>
  <c r="C4" i="6"/>
  <c r="G3" i="6"/>
  <c r="C3" i="6"/>
  <c r="G23" i="5"/>
  <c r="G22" i="5"/>
  <c r="C22" i="5"/>
  <c r="G21" i="5"/>
  <c r="C21" i="5"/>
  <c r="G20" i="5"/>
  <c r="C20" i="5"/>
  <c r="G19" i="5"/>
  <c r="C19" i="5"/>
  <c r="G18" i="5"/>
  <c r="C18" i="5"/>
  <c r="G17" i="5"/>
  <c r="C17" i="5"/>
  <c r="G16" i="5"/>
  <c r="C16" i="5"/>
  <c r="G15" i="5"/>
  <c r="C15" i="5"/>
  <c r="G14" i="5"/>
  <c r="C14" i="5"/>
  <c r="G13" i="5"/>
  <c r="C13" i="5"/>
  <c r="G12" i="5"/>
  <c r="C12" i="5"/>
  <c r="G11" i="5"/>
  <c r="C11" i="5"/>
  <c r="G10" i="5"/>
  <c r="C10" i="5"/>
  <c r="G9" i="5"/>
  <c r="C9" i="5"/>
  <c r="G8" i="5"/>
  <c r="C8" i="5"/>
  <c r="G7" i="5"/>
  <c r="C7" i="5"/>
  <c r="G6" i="5"/>
  <c r="C6" i="5"/>
  <c r="G5" i="5"/>
  <c r="C5" i="5"/>
  <c r="G4" i="5"/>
  <c r="C4" i="5"/>
  <c r="G3" i="5"/>
  <c r="C3" i="5"/>
  <c r="C21" i="4"/>
  <c r="C20" i="4"/>
  <c r="C19" i="4"/>
  <c r="C18" i="4"/>
  <c r="C17" i="4"/>
  <c r="C16" i="4"/>
  <c r="C15" i="4"/>
  <c r="G14" i="4"/>
  <c r="C14" i="4"/>
  <c r="G13" i="4"/>
  <c r="C13" i="4"/>
  <c r="G12" i="4"/>
  <c r="C12" i="4"/>
  <c r="G11" i="4"/>
  <c r="C11" i="4"/>
  <c r="G10" i="4"/>
  <c r="C10" i="4"/>
  <c r="G9" i="4"/>
  <c r="C9" i="4"/>
  <c r="G8" i="4"/>
  <c r="C8" i="4"/>
  <c r="G7" i="4"/>
  <c r="C7" i="4"/>
  <c r="G6" i="4"/>
  <c r="C6" i="4"/>
  <c r="G5" i="4"/>
  <c r="C5" i="4"/>
  <c r="G4" i="4"/>
  <c r="C4" i="4"/>
  <c r="G3" i="4"/>
  <c r="C3" i="4"/>
  <c r="C27" i="3"/>
  <c r="C26" i="3"/>
  <c r="C25" i="3"/>
  <c r="C24" i="3"/>
  <c r="C23" i="3"/>
  <c r="C22" i="3"/>
  <c r="C21" i="3"/>
  <c r="C20" i="3"/>
  <c r="C19" i="3"/>
  <c r="C18" i="3"/>
  <c r="G17" i="3"/>
  <c r="C17" i="3"/>
  <c r="G16" i="3"/>
  <c r="C16" i="3"/>
  <c r="G15" i="3"/>
  <c r="C15" i="3"/>
  <c r="G14" i="3"/>
  <c r="C14" i="3"/>
  <c r="G13" i="3"/>
  <c r="C13" i="3"/>
  <c r="G12" i="3"/>
  <c r="C12" i="3"/>
  <c r="G11" i="3"/>
  <c r="C11" i="3"/>
  <c r="G10" i="3"/>
  <c r="C10" i="3"/>
  <c r="G9" i="3"/>
  <c r="C9" i="3"/>
  <c r="G8" i="3"/>
  <c r="C8" i="3"/>
  <c r="G7" i="3"/>
  <c r="C7" i="3"/>
  <c r="G6" i="3"/>
  <c r="C6" i="3"/>
  <c r="G5" i="3"/>
  <c r="C5" i="3"/>
  <c r="G4" i="3"/>
  <c r="C4" i="3"/>
  <c r="G3" i="3"/>
  <c r="C3" i="3"/>
  <c r="C24" i="2"/>
  <c r="C23" i="2"/>
  <c r="C22" i="2"/>
  <c r="C21" i="2"/>
  <c r="C20" i="2"/>
  <c r="C19" i="2"/>
  <c r="C18" i="2"/>
  <c r="C17" i="2"/>
  <c r="G16" i="2"/>
  <c r="C16" i="2"/>
  <c r="G15" i="2"/>
  <c r="C15" i="2"/>
  <c r="G14" i="2"/>
  <c r="C14" i="2"/>
  <c r="G13" i="2"/>
  <c r="C13" i="2"/>
  <c r="G12" i="2"/>
  <c r="C12" i="2"/>
  <c r="G11" i="2"/>
  <c r="C11" i="2"/>
  <c r="G10" i="2"/>
  <c r="C10" i="2"/>
  <c r="G9" i="2"/>
  <c r="C9" i="2"/>
  <c r="G8" i="2"/>
  <c r="C8" i="2"/>
  <c r="G7" i="2"/>
  <c r="C7" i="2"/>
  <c r="G6" i="2"/>
  <c r="C6" i="2"/>
  <c r="G5" i="2"/>
  <c r="C5" i="2"/>
  <c r="G4" i="2"/>
  <c r="C4" i="2"/>
  <c r="G3" i="2"/>
  <c r="C3" i="2"/>
</calcChain>
</file>

<file path=xl/sharedStrings.xml><?xml version="1.0" encoding="utf-8"?>
<sst xmlns="http://schemas.openxmlformats.org/spreadsheetml/2006/main" count="309" uniqueCount="31">
  <si>
    <t>Count</t>
  </si>
  <si>
    <t>Frequency (%)</t>
  </si>
  <si>
    <t>Gained</t>
  </si>
  <si>
    <t>Lost</t>
  </si>
  <si>
    <t>KEGG BRITE level B</t>
  </si>
  <si>
    <t>Unannotated</t>
  </si>
  <si>
    <t>Lipid metabolism</t>
  </si>
  <si>
    <t>Metabolism of cofactors and vitamins</t>
  </si>
  <si>
    <t>Amino acid metabolism</t>
  </si>
  <si>
    <t>Metabolism of other amino acids</t>
  </si>
  <si>
    <t>Signal transduction</t>
  </si>
  <si>
    <t>Carbohydrate metabolism</t>
  </si>
  <si>
    <t>Cell growth and death</t>
  </si>
  <si>
    <t>Cell motility</t>
  </si>
  <si>
    <t>Energy metabolism</t>
  </si>
  <si>
    <t>Glycan biosynthesis and metabolism</t>
  </si>
  <si>
    <t>Nucleotide metabolism</t>
  </si>
  <si>
    <t>Poorly characterized</t>
  </si>
  <si>
    <t>Unclassified: signaling and cellular processes</t>
  </si>
  <si>
    <t>Folding, sorting and degradation</t>
  </si>
  <si>
    <t>Translation</t>
  </si>
  <si>
    <t>Unclassified: metabolism</t>
  </si>
  <si>
    <t>Xenobiotics biodegradation and metabolism</t>
  </si>
  <si>
    <t>Biosynthesis of other secondary metabolites</t>
  </si>
  <si>
    <t>Cellular community - prokaryotes</t>
  </si>
  <si>
    <t>Membrane transport</t>
  </si>
  <si>
    <t>Metabolism of terpenoids and polyketides</t>
  </si>
  <si>
    <t>Replication and repair</t>
  </si>
  <si>
    <t>Unclassified: genetic information processing</t>
  </si>
  <si>
    <t>Transport and catabolism</t>
  </si>
  <si>
    <t>Transcription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</si>
</sst>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tabSelected="1" zoomScaleNormal="100" workbookViewId="0">
      <selection activeCell="E1" sqref="E1:G1"/>
    </sheetView>
  </sheetViews>
  <sheetFormatPr defaultColWidth="11.5703125" defaultRowHeight="12.75" x14ac:dyDescent="0.2"/>
  <cols>
    <col min="1" max="1" width="38.28515625" customWidth="1"/>
    <col min="2" max="2" width="6.28515625" customWidth="1"/>
    <col min="3" max="3" width="13.42578125" customWidth="1"/>
    <col min="5" max="5" width="38.28515625" customWidth="1"/>
    <col min="6" max="6" width="6.28515625" customWidth="1"/>
    <col min="7" max="7" width="13.42578125" customWidth="1"/>
  </cols>
  <sheetData>
    <row r="1" spans="1:7" ht="15.75" x14ac:dyDescent="0.25">
      <c r="A1" s="1" t="s">
        <v>2</v>
      </c>
      <c r="B1" s="1"/>
      <c r="C1" s="1"/>
      <c r="E1" s="1" t="s">
        <v>3</v>
      </c>
      <c r="F1" s="1"/>
      <c r="G1" s="1"/>
    </row>
    <row r="2" spans="1:7" x14ac:dyDescent="0.2">
      <c r="A2" t="s">
        <v>4</v>
      </c>
      <c r="B2" t="s">
        <v>0</v>
      </c>
      <c r="C2" t="s">
        <v>1</v>
      </c>
      <c r="E2" t="s">
        <v>4</v>
      </c>
      <c r="F2" t="s">
        <v>0</v>
      </c>
      <c r="G2" t="s">
        <v>1</v>
      </c>
    </row>
    <row r="3" spans="1:7" x14ac:dyDescent="0.2">
      <c r="A3" t="s">
        <v>5</v>
      </c>
      <c r="B3">
        <v>57</v>
      </c>
      <c r="C3" s="2">
        <f t="shared" ref="C3:C24" si="0">B3/SUM(B$3:B$24)*100</f>
        <v>50</v>
      </c>
      <c r="E3" t="s">
        <v>5</v>
      </c>
      <c r="F3">
        <v>10</v>
      </c>
      <c r="G3" s="2">
        <f t="shared" ref="G3:G16" si="1">F3/SUM(F$3:F$16)*100</f>
        <v>40</v>
      </c>
    </row>
    <row r="4" spans="1:7" x14ac:dyDescent="0.2">
      <c r="A4" t="s">
        <v>6</v>
      </c>
      <c r="B4">
        <v>6</v>
      </c>
      <c r="C4" s="2">
        <f t="shared" si="0"/>
        <v>5.2631578947368416</v>
      </c>
      <c r="E4" t="s">
        <v>7</v>
      </c>
      <c r="F4">
        <v>2</v>
      </c>
      <c r="G4" s="2">
        <f t="shared" si="1"/>
        <v>8</v>
      </c>
    </row>
    <row r="5" spans="1:7" x14ac:dyDescent="0.2">
      <c r="A5" t="s">
        <v>8</v>
      </c>
      <c r="B5">
        <v>5</v>
      </c>
      <c r="C5" s="2">
        <f t="shared" si="0"/>
        <v>4.3859649122807012</v>
      </c>
      <c r="E5" t="s">
        <v>9</v>
      </c>
      <c r="F5">
        <v>2</v>
      </c>
      <c r="G5" s="2">
        <f t="shared" si="1"/>
        <v>8</v>
      </c>
    </row>
    <row r="6" spans="1:7" x14ac:dyDescent="0.2">
      <c r="A6" t="s">
        <v>7</v>
      </c>
      <c r="B6">
        <v>5</v>
      </c>
      <c r="C6" s="2">
        <f t="shared" si="0"/>
        <v>4.3859649122807012</v>
      </c>
      <c r="E6" t="s">
        <v>8</v>
      </c>
      <c r="F6">
        <v>1</v>
      </c>
      <c r="G6" s="2">
        <f t="shared" si="1"/>
        <v>4</v>
      </c>
    </row>
    <row r="7" spans="1:7" x14ac:dyDescent="0.2">
      <c r="A7" t="s">
        <v>10</v>
      </c>
      <c r="B7">
        <v>5</v>
      </c>
      <c r="C7" s="2">
        <f t="shared" si="0"/>
        <v>4.3859649122807012</v>
      </c>
      <c r="E7" t="s">
        <v>11</v>
      </c>
      <c r="F7">
        <v>1</v>
      </c>
      <c r="G7" s="2">
        <f t="shared" si="1"/>
        <v>4</v>
      </c>
    </row>
    <row r="8" spans="1:7" x14ac:dyDescent="0.2">
      <c r="A8" t="s">
        <v>11</v>
      </c>
      <c r="B8">
        <v>4</v>
      </c>
      <c r="C8" s="2">
        <f t="shared" si="0"/>
        <v>3.5087719298245612</v>
      </c>
      <c r="E8" t="s">
        <v>12</v>
      </c>
      <c r="F8">
        <v>1</v>
      </c>
      <c r="G8" s="2">
        <f t="shared" si="1"/>
        <v>4</v>
      </c>
    </row>
    <row r="9" spans="1:7" x14ac:dyDescent="0.2">
      <c r="A9" t="s">
        <v>13</v>
      </c>
      <c r="B9">
        <v>4</v>
      </c>
      <c r="C9" s="2">
        <f t="shared" si="0"/>
        <v>3.5087719298245612</v>
      </c>
      <c r="E9" t="s">
        <v>13</v>
      </c>
      <c r="F9">
        <v>1</v>
      </c>
      <c r="G9" s="2">
        <f t="shared" si="1"/>
        <v>4</v>
      </c>
    </row>
    <row r="10" spans="1:7" x14ac:dyDescent="0.2">
      <c r="A10" t="s">
        <v>9</v>
      </c>
      <c r="B10">
        <v>4</v>
      </c>
      <c r="C10" s="2">
        <f t="shared" si="0"/>
        <v>3.5087719298245612</v>
      </c>
      <c r="E10" t="s">
        <v>14</v>
      </c>
      <c r="F10">
        <v>1</v>
      </c>
      <c r="G10" s="2">
        <f t="shared" si="1"/>
        <v>4</v>
      </c>
    </row>
    <row r="11" spans="1:7" x14ac:dyDescent="0.2">
      <c r="A11" t="s">
        <v>14</v>
      </c>
      <c r="B11">
        <v>3</v>
      </c>
      <c r="C11" s="2">
        <f t="shared" si="0"/>
        <v>2.6315789473684208</v>
      </c>
      <c r="E11" t="s">
        <v>15</v>
      </c>
      <c r="F11">
        <v>1</v>
      </c>
      <c r="G11" s="2">
        <f t="shared" si="1"/>
        <v>4</v>
      </c>
    </row>
    <row r="12" spans="1:7" x14ac:dyDescent="0.2">
      <c r="A12" t="s">
        <v>16</v>
      </c>
      <c r="B12">
        <v>3</v>
      </c>
      <c r="C12" s="2">
        <f t="shared" si="0"/>
        <v>2.6315789473684208</v>
      </c>
      <c r="E12" t="s">
        <v>17</v>
      </c>
      <c r="F12">
        <v>1</v>
      </c>
      <c r="G12" s="2">
        <f t="shared" si="1"/>
        <v>4</v>
      </c>
    </row>
    <row r="13" spans="1:7" x14ac:dyDescent="0.2">
      <c r="A13" t="s">
        <v>18</v>
      </c>
      <c r="B13">
        <v>3</v>
      </c>
      <c r="C13" s="2">
        <f t="shared" si="0"/>
        <v>2.6315789473684208</v>
      </c>
      <c r="E13" t="s">
        <v>10</v>
      </c>
      <c r="F13">
        <v>1</v>
      </c>
      <c r="G13" s="2">
        <f t="shared" si="1"/>
        <v>4</v>
      </c>
    </row>
    <row r="14" spans="1:7" x14ac:dyDescent="0.2">
      <c r="A14" t="s">
        <v>19</v>
      </c>
      <c r="B14">
        <v>2</v>
      </c>
      <c r="C14" s="2">
        <f t="shared" si="0"/>
        <v>1.7543859649122806</v>
      </c>
      <c r="E14" t="s">
        <v>20</v>
      </c>
      <c r="F14">
        <v>1</v>
      </c>
      <c r="G14" s="2">
        <f t="shared" si="1"/>
        <v>4</v>
      </c>
    </row>
    <row r="15" spans="1:7" x14ac:dyDescent="0.2">
      <c r="A15" t="s">
        <v>15</v>
      </c>
      <c r="B15">
        <v>2</v>
      </c>
      <c r="C15" s="2">
        <f t="shared" si="0"/>
        <v>1.7543859649122806</v>
      </c>
      <c r="E15" t="s">
        <v>21</v>
      </c>
      <c r="F15">
        <v>1</v>
      </c>
      <c r="G15" s="2">
        <f t="shared" si="1"/>
        <v>4</v>
      </c>
    </row>
    <row r="16" spans="1:7" x14ac:dyDescent="0.2">
      <c r="A16" t="s">
        <v>21</v>
      </c>
      <c r="B16">
        <v>2</v>
      </c>
      <c r="C16" s="2">
        <f t="shared" si="0"/>
        <v>1.7543859649122806</v>
      </c>
      <c r="E16" t="s">
        <v>18</v>
      </c>
      <c r="F16">
        <v>1</v>
      </c>
      <c r="G16" s="2">
        <f t="shared" si="1"/>
        <v>4</v>
      </c>
    </row>
    <row r="17" spans="1:3" x14ac:dyDescent="0.2">
      <c r="A17" t="s">
        <v>22</v>
      </c>
      <c r="B17">
        <v>2</v>
      </c>
      <c r="C17" s="2">
        <f t="shared" si="0"/>
        <v>1.7543859649122806</v>
      </c>
    </row>
    <row r="18" spans="1:3" x14ac:dyDescent="0.2">
      <c r="A18" t="s">
        <v>23</v>
      </c>
      <c r="B18">
        <v>1</v>
      </c>
      <c r="C18" s="2">
        <f t="shared" si="0"/>
        <v>0.8771929824561403</v>
      </c>
    </row>
    <row r="19" spans="1:3" x14ac:dyDescent="0.2">
      <c r="A19" t="s">
        <v>12</v>
      </c>
      <c r="B19">
        <v>1</v>
      </c>
      <c r="C19" s="2">
        <f t="shared" si="0"/>
        <v>0.8771929824561403</v>
      </c>
    </row>
    <row r="20" spans="1:3" x14ac:dyDescent="0.2">
      <c r="A20" t="s">
        <v>24</v>
      </c>
      <c r="B20">
        <v>1</v>
      </c>
      <c r="C20" s="2">
        <f t="shared" si="0"/>
        <v>0.8771929824561403</v>
      </c>
    </row>
    <row r="21" spans="1:3" x14ac:dyDescent="0.2">
      <c r="A21" t="s">
        <v>25</v>
      </c>
      <c r="B21">
        <v>1</v>
      </c>
      <c r="C21" s="2">
        <f t="shared" si="0"/>
        <v>0.8771929824561403</v>
      </c>
    </row>
    <row r="22" spans="1:3" x14ac:dyDescent="0.2">
      <c r="A22" t="s">
        <v>26</v>
      </c>
      <c r="B22">
        <v>1</v>
      </c>
      <c r="C22" s="2">
        <f t="shared" si="0"/>
        <v>0.8771929824561403</v>
      </c>
    </row>
    <row r="23" spans="1:3" x14ac:dyDescent="0.2">
      <c r="A23" t="s">
        <v>17</v>
      </c>
      <c r="B23">
        <v>1</v>
      </c>
      <c r="C23" s="2">
        <f t="shared" si="0"/>
        <v>0.8771929824561403</v>
      </c>
    </row>
    <row r="24" spans="1:3" x14ac:dyDescent="0.2">
      <c r="A24" t="s">
        <v>20</v>
      </c>
      <c r="B24">
        <v>1</v>
      </c>
      <c r="C24" s="2">
        <f t="shared" si="0"/>
        <v>0.8771929824561403</v>
      </c>
    </row>
  </sheetData>
  <mergeCells count="2">
    <mergeCell ref="A1:C1"/>
    <mergeCell ref="E1:G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zoomScaleNormal="100" workbookViewId="0">
      <selection activeCell="E1" sqref="E1:G1"/>
    </sheetView>
  </sheetViews>
  <sheetFormatPr defaultColWidth="11.5703125" defaultRowHeight="12.75" x14ac:dyDescent="0.2"/>
  <cols>
    <col min="1" max="1" width="38.28515625" customWidth="1"/>
    <col min="2" max="2" width="6.28515625" customWidth="1"/>
    <col min="3" max="3" width="13.42578125" customWidth="1"/>
    <col min="5" max="5" width="38.28515625" customWidth="1"/>
    <col min="6" max="6" width="6.28515625" customWidth="1"/>
    <col min="7" max="7" width="13.42578125" customWidth="1"/>
  </cols>
  <sheetData>
    <row r="1" spans="1:7" ht="15.75" x14ac:dyDescent="0.25">
      <c r="A1" s="1" t="s">
        <v>2</v>
      </c>
      <c r="B1" s="1"/>
      <c r="C1" s="1"/>
      <c r="E1" s="1" t="s">
        <v>3</v>
      </c>
      <c r="F1" s="1"/>
      <c r="G1" s="1"/>
    </row>
    <row r="2" spans="1:7" x14ac:dyDescent="0.2">
      <c r="A2" t="s">
        <v>4</v>
      </c>
      <c r="B2" t="s">
        <v>0</v>
      </c>
      <c r="C2" t="s">
        <v>1</v>
      </c>
      <c r="E2" t="s">
        <v>4</v>
      </c>
      <c r="F2" t="s">
        <v>0</v>
      </c>
      <c r="G2" t="s">
        <v>1</v>
      </c>
    </row>
    <row r="3" spans="1:7" x14ac:dyDescent="0.2">
      <c r="A3" t="s">
        <v>5</v>
      </c>
      <c r="B3">
        <v>118</v>
      </c>
      <c r="C3" s="2">
        <f t="shared" ref="C3:C27" si="0">B3/SUM(B$3:B$27)*100</f>
        <v>56.459330143540662</v>
      </c>
      <c r="E3" t="s">
        <v>5</v>
      </c>
      <c r="F3">
        <v>19</v>
      </c>
      <c r="G3" s="2">
        <f t="shared" ref="G3:G17" si="1">F3/SUM(F$3:F$17)*100</f>
        <v>41.304347826086953</v>
      </c>
    </row>
    <row r="4" spans="1:7" x14ac:dyDescent="0.2">
      <c r="A4" t="s">
        <v>11</v>
      </c>
      <c r="B4">
        <v>13</v>
      </c>
      <c r="C4" s="2">
        <f t="shared" si="0"/>
        <v>6.2200956937799043</v>
      </c>
      <c r="E4" t="s">
        <v>8</v>
      </c>
      <c r="F4">
        <v>6</v>
      </c>
      <c r="G4" s="2">
        <f t="shared" si="1"/>
        <v>13.043478260869565</v>
      </c>
    </row>
    <row r="5" spans="1:7" x14ac:dyDescent="0.2">
      <c r="A5" t="s">
        <v>15</v>
      </c>
      <c r="B5">
        <v>9</v>
      </c>
      <c r="C5" s="2">
        <f t="shared" si="0"/>
        <v>4.3062200956937797</v>
      </c>
      <c r="E5" t="s">
        <v>23</v>
      </c>
      <c r="F5">
        <v>3</v>
      </c>
      <c r="G5" s="2">
        <f t="shared" si="1"/>
        <v>6.5217391304347823</v>
      </c>
    </row>
    <row r="6" spans="1:7" x14ac:dyDescent="0.2">
      <c r="A6" t="s">
        <v>27</v>
      </c>
      <c r="B6">
        <v>8</v>
      </c>
      <c r="C6" s="2">
        <f t="shared" si="0"/>
        <v>3.8277511961722488</v>
      </c>
      <c r="E6" t="s">
        <v>7</v>
      </c>
      <c r="F6">
        <v>3</v>
      </c>
      <c r="G6" s="2">
        <f t="shared" si="1"/>
        <v>6.5217391304347823</v>
      </c>
    </row>
    <row r="7" spans="1:7" x14ac:dyDescent="0.2">
      <c r="A7" t="s">
        <v>14</v>
      </c>
      <c r="B7">
        <v>6</v>
      </c>
      <c r="C7" s="2">
        <f t="shared" si="0"/>
        <v>2.8708133971291865</v>
      </c>
      <c r="E7" t="s">
        <v>17</v>
      </c>
      <c r="F7">
        <v>3</v>
      </c>
      <c r="G7" s="2">
        <f t="shared" si="1"/>
        <v>6.5217391304347823</v>
      </c>
    </row>
    <row r="8" spans="1:7" x14ac:dyDescent="0.2">
      <c r="A8" t="s">
        <v>7</v>
      </c>
      <c r="B8">
        <v>6</v>
      </c>
      <c r="C8" s="2">
        <f t="shared" si="0"/>
        <v>2.8708133971291865</v>
      </c>
      <c r="E8" t="s">
        <v>27</v>
      </c>
      <c r="F8">
        <v>2</v>
      </c>
      <c r="G8" s="2">
        <f t="shared" si="1"/>
        <v>4.3478260869565215</v>
      </c>
    </row>
    <row r="9" spans="1:7" x14ac:dyDescent="0.2">
      <c r="A9" t="s">
        <v>16</v>
      </c>
      <c r="B9">
        <v>6</v>
      </c>
      <c r="C9" s="2">
        <f t="shared" si="0"/>
        <v>2.8708133971291865</v>
      </c>
      <c r="E9" t="s">
        <v>18</v>
      </c>
      <c r="F9">
        <v>2</v>
      </c>
      <c r="G9" s="2">
        <f t="shared" si="1"/>
        <v>4.3478260869565215</v>
      </c>
    </row>
    <row r="10" spans="1:7" x14ac:dyDescent="0.2">
      <c r="A10" t="s">
        <v>17</v>
      </c>
      <c r="B10">
        <v>6</v>
      </c>
      <c r="C10" s="2">
        <f t="shared" si="0"/>
        <v>2.8708133971291865</v>
      </c>
      <c r="E10" t="s">
        <v>11</v>
      </c>
      <c r="F10">
        <v>1</v>
      </c>
      <c r="G10" s="2">
        <f t="shared" si="1"/>
        <v>2.1739130434782608</v>
      </c>
    </row>
    <row r="11" spans="1:7" x14ac:dyDescent="0.2">
      <c r="A11" t="s">
        <v>21</v>
      </c>
      <c r="B11">
        <v>6</v>
      </c>
      <c r="C11" s="2">
        <f t="shared" si="0"/>
        <v>2.8708133971291865</v>
      </c>
      <c r="E11" t="s">
        <v>14</v>
      </c>
      <c r="F11">
        <v>1</v>
      </c>
      <c r="G11" s="2">
        <f t="shared" si="1"/>
        <v>2.1739130434782608</v>
      </c>
    </row>
    <row r="12" spans="1:7" x14ac:dyDescent="0.2">
      <c r="A12" t="s">
        <v>18</v>
      </c>
      <c r="B12">
        <v>5</v>
      </c>
      <c r="C12" s="2">
        <f t="shared" si="0"/>
        <v>2.3923444976076556</v>
      </c>
      <c r="E12" t="s">
        <v>19</v>
      </c>
      <c r="F12">
        <v>1</v>
      </c>
      <c r="G12" s="2">
        <f t="shared" si="1"/>
        <v>2.1739130434782608</v>
      </c>
    </row>
    <row r="13" spans="1:7" x14ac:dyDescent="0.2">
      <c r="A13" t="s">
        <v>8</v>
      </c>
      <c r="B13">
        <v>4</v>
      </c>
      <c r="C13" s="2">
        <f t="shared" si="0"/>
        <v>1.9138755980861244</v>
      </c>
      <c r="E13" t="s">
        <v>15</v>
      </c>
      <c r="F13">
        <v>1</v>
      </c>
      <c r="G13" s="2">
        <f t="shared" si="1"/>
        <v>2.1739130434782608</v>
      </c>
    </row>
    <row r="14" spans="1:7" x14ac:dyDescent="0.2">
      <c r="A14" t="s">
        <v>6</v>
      </c>
      <c r="B14">
        <v>4</v>
      </c>
      <c r="C14" s="2">
        <f t="shared" si="0"/>
        <v>1.9138755980861244</v>
      </c>
      <c r="E14" t="s">
        <v>25</v>
      </c>
      <c r="F14">
        <v>1</v>
      </c>
      <c r="G14" s="2">
        <f t="shared" si="1"/>
        <v>2.1739130434782608</v>
      </c>
    </row>
    <row r="15" spans="1:7" x14ac:dyDescent="0.2">
      <c r="A15" t="s">
        <v>24</v>
      </c>
      <c r="B15">
        <v>3</v>
      </c>
      <c r="C15" s="2">
        <f t="shared" si="0"/>
        <v>1.4354066985645932</v>
      </c>
      <c r="E15" t="s">
        <v>10</v>
      </c>
      <c r="F15">
        <v>1</v>
      </c>
      <c r="G15" s="2">
        <f t="shared" si="1"/>
        <v>2.1739130434782608</v>
      </c>
    </row>
    <row r="16" spans="1:7" x14ac:dyDescent="0.2">
      <c r="A16" t="s">
        <v>25</v>
      </c>
      <c r="B16">
        <v>3</v>
      </c>
      <c r="C16" s="2">
        <f t="shared" si="0"/>
        <v>1.4354066985645932</v>
      </c>
      <c r="E16" t="s">
        <v>28</v>
      </c>
      <c r="F16">
        <v>1</v>
      </c>
      <c r="G16" s="2">
        <f t="shared" si="1"/>
        <v>2.1739130434782608</v>
      </c>
    </row>
    <row r="17" spans="1:7" x14ac:dyDescent="0.2">
      <c r="A17" t="s">
        <v>29</v>
      </c>
      <c r="B17">
        <v>2</v>
      </c>
      <c r="C17" s="2">
        <f t="shared" si="0"/>
        <v>0.9569377990430622</v>
      </c>
      <c r="E17" t="s">
        <v>21</v>
      </c>
      <c r="F17">
        <v>1</v>
      </c>
      <c r="G17" s="2">
        <f t="shared" si="1"/>
        <v>2.1739130434782608</v>
      </c>
    </row>
    <row r="18" spans="1:7" x14ac:dyDescent="0.2">
      <c r="A18" t="s">
        <v>23</v>
      </c>
      <c r="B18">
        <v>1</v>
      </c>
      <c r="C18" s="2">
        <f t="shared" si="0"/>
        <v>0.4784688995215311</v>
      </c>
    </row>
    <row r="19" spans="1:7" x14ac:dyDescent="0.2">
      <c r="A19" t="s">
        <v>12</v>
      </c>
      <c r="B19">
        <v>1</v>
      </c>
      <c r="C19" s="2">
        <f t="shared" si="0"/>
        <v>0.4784688995215311</v>
      </c>
    </row>
    <row r="20" spans="1:7" x14ac:dyDescent="0.2">
      <c r="A20" t="s">
        <v>13</v>
      </c>
      <c r="B20">
        <v>1</v>
      </c>
      <c r="C20" s="2">
        <f t="shared" si="0"/>
        <v>0.4784688995215311</v>
      </c>
    </row>
    <row r="21" spans="1:7" x14ac:dyDescent="0.2">
      <c r="A21" t="s">
        <v>19</v>
      </c>
      <c r="B21">
        <v>1</v>
      </c>
      <c r="C21" s="2">
        <f t="shared" si="0"/>
        <v>0.4784688995215311</v>
      </c>
    </row>
    <row r="22" spans="1:7" x14ac:dyDescent="0.2">
      <c r="A22" t="s">
        <v>9</v>
      </c>
      <c r="B22">
        <v>1</v>
      </c>
      <c r="C22" s="2">
        <f t="shared" si="0"/>
        <v>0.4784688995215311</v>
      </c>
    </row>
    <row r="23" spans="1:7" x14ac:dyDescent="0.2">
      <c r="A23" t="s">
        <v>26</v>
      </c>
      <c r="B23">
        <v>1</v>
      </c>
      <c r="C23" s="2">
        <f t="shared" si="0"/>
        <v>0.4784688995215311</v>
      </c>
    </row>
    <row r="24" spans="1:7" x14ac:dyDescent="0.2">
      <c r="A24" t="s">
        <v>10</v>
      </c>
      <c r="B24">
        <v>1</v>
      </c>
      <c r="C24" s="2">
        <f t="shared" si="0"/>
        <v>0.4784688995215311</v>
      </c>
    </row>
    <row r="25" spans="1:7" x14ac:dyDescent="0.2">
      <c r="A25" t="s">
        <v>30</v>
      </c>
      <c r="B25">
        <v>1</v>
      </c>
      <c r="C25" s="2">
        <f t="shared" si="0"/>
        <v>0.4784688995215311</v>
      </c>
    </row>
    <row r="26" spans="1:7" x14ac:dyDescent="0.2">
      <c r="A26" t="s">
        <v>20</v>
      </c>
      <c r="B26">
        <v>1</v>
      </c>
      <c r="C26" s="2">
        <f t="shared" si="0"/>
        <v>0.4784688995215311</v>
      </c>
    </row>
    <row r="27" spans="1:7" x14ac:dyDescent="0.2">
      <c r="A27" t="s">
        <v>22</v>
      </c>
      <c r="B27">
        <v>1</v>
      </c>
      <c r="C27" s="2">
        <f t="shared" si="0"/>
        <v>0.4784688995215311</v>
      </c>
    </row>
  </sheetData>
  <mergeCells count="2">
    <mergeCell ref="A1:C1"/>
    <mergeCell ref="E1:G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zoomScaleNormal="100" workbookViewId="0">
      <selection activeCell="E1" sqref="E1:G1"/>
    </sheetView>
  </sheetViews>
  <sheetFormatPr defaultColWidth="11.5703125" defaultRowHeight="12.75" x14ac:dyDescent="0.2"/>
  <cols>
    <col min="1" max="1" width="38.28515625" customWidth="1"/>
    <col min="2" max="2" width="6.28515625" customWidth="1"/>
    <col min="3" max="3" width="13.42578125" customWidth="1"/>
    <col min="5" max="5" width="38.28515625" customWidth="1"/>
    <col min="6" max="6" width="6.28515625" customWidth="1"/>
    <col min="7" max="7" width="13.42578125" customWidth="1"/>
  </cols>
  <sheetData>
    <row r="1" spans="1:7" ht="15.75" x14ac:dyDescent="0.25">
      <c r="A1" s="1" t="s">
        <v>2</v>
      </c>
      <c r="B1" s="1"/>
      <c r="C1" s="1"/>
      <c r="E1" s="1" t="s">
        <v>3</v>
      </c>
      <c r="F1" s="1"/>
      <c r="G1" s="1"/>
    </row>
    <row r="2" spans="1:7" x14ac:dyDescent="0.2">
      <c r="A2" t="s">
        <v>4</v>
      </c>
      <c r="B2" t="s">
        <v>0</v>
      </c>
      <c r="C2" t="s">
        <v>1</v>
      </c>
      <c r="E2" t="s">
        <v>4</v>
      </c>
      <c r="F2" t="s">
        <v>0</v>
      </c>
      <c r="G2" t="s">
        <v>1</v>
      </c>
    </row>
    <row r="3" spans="1:7" x14ac:dyDescent="0.2">
      <c r="A3" t="s">
        <v>5</v>
      </c>
      <c r="B3">
        <v>33</v>
      </c>
      <c r="C3" s="2">
        <f t="shared" ref="C3:C21" si="0">B3/SUM(B$3:B$21)*100</f>
        <v>43.421052631578952</v>
      </c>
      <c r="E3" t="s">
        <v>5</v>
      </c>
      <c r="F3">
        <v>26</v>
      </c>
      <c r="G3" s="2">
        <f t="shared" ref="G3:G14" si="1">F3/SUM(F$3:F$14)*100</f>
        <v>61.904761904761905</v>
      </c>
    </row>
    <row r="4" spans="1:7" x14ac:dyDescent="0.2">
      <c r="A4" t="s">
        <v>8</v>
      </c>
      <c r="B4">
        <v>6</v>
      </c>
      <c r="C4" s="2">
        <f t="shared" si="0"/>
        <v>7.8947368421052628</v>
      </c>
      <c r="E4" t="s">
        <v>15</v>
      </c>
      <c r="F4">
        <v>2</v>
      </c>
      <c r="G4" s="2">
        <f t="shared" si="1"/>
        <v>4.7619047619047619</v>
      </c>
    </row>
    <row r="5" spans="1:7" x14ac:dyDescent="0.2">
      <c r="A5" t="s">
        <v>6</v>
      </c>
      <c r="B5">
        <v>5</v>
      </c>
      <c r="C5" s="2">
        <f t="shared" si="0"/>
        <v>6.5789473684210522</v>
      </c>
      <c r="E5" t="s">
        <v>27</v>
      </c>
      <c r="F5">
        <v>2</v>
      </c>
      <c r="G5" s="2">
        <f t="shared" si="1"/>
        <v>4.7619047619047619</v>
      </c>
    </row>
    <row r="6" spans="1:7" x14ac:dyDescent="0.2">
      <c r="A6" t="s">
        <v>18</v>
      </c>
      <c r="B6">
        <v>5</v>
      </c>
      <c r="C6" s="2">
        <f t="shared" si="0"/>
        <v>6.5789473684210522</v>
      </c>
      <c r="E6" t="s">
        <v>20</v>
      </c>
      <c r="F6">
        <v>2</v>
      </c>
      <c r="G6" s="2">
        <f t="shared" si="1"/>
        <v>4.7619047619047619</v>
      </c>
    </row>
    <row r="7" spans="1:7" x14ac:dyDescent="0.2">
      <c r="A7" t="s">
        <v>27</v>
      </c>
      <c r="B7">
        <v>4</v>
      </c>
      <c r="C7" s="2">
        <f t="shared" si="0"/>
        <v>5.2631578947368416</v>
      </c>
      <c r="E7" t="s">
        <v>28</v>
      </c>
      <c r="F7">
        <v>2</v>
      </c>
      <c r="G7" s="2">
        <f t="shared" si="1"/>
        <v>4.7619047619047619</v>
      </c>
    </row>
    <row r="8" spans="1:7" x14ac:dyDescent="0.2">
      <c r="A8" t="s">
        <v>11</v>
      </c>
      <c r="B8">
        <v>3</v>
      </c>
      <c r="C8" s="2">
        <f t="shared" si="0"/>
        <v>3.9473684210526314</v>
      </c>
      <c r="E8" t="s">
        <v>18</v>
      </c>
      <c r="F8">
        <v>2</v>
      </c>
      <c r="G8" s="2">
        <f t="shared" si="1"/>
        <v>4.7619047619047619</v>
      </c>
    </row>
    <row r="9" spans="1:7" x14ac:dyDescent="0.2">
      <c r="A9" t="s">
        <v>14</v>
      </c>
      <c r="B9">
        <v>3</v>
      </c>
      <c r="C9" s="2">
        <f t="shared" si="0"/>
        <v>3.9473684210526314</v>
      </c>
      <c r="E9" t="s">
        <v>8</v>
      </c>
      <c r="F9">
        <v>1</v>
      </c>
      <c r="G9" s="2">
        <f t="shared" si="1"/>
        <v>2.3809523809523809</v>
      </c>
    </row>
    <row r="10" spans="1:7" x14ac:dyDescent="0.2">
      <c r="A10" t="s">
        <v>24</v>
      </c>
      <c r="B10">
        <v>2</v>
      </c>
      <c r="C10" s="2">
        <f t="shared" si="0"/>
        <v>2.6315789473684208</v>
      </c>
      <c r="E10" t="s">
        <v>12</v>
      </c>
      <c r="F10">
        <v>1</v>
      </c>
      <c r="G10" s="2">
        <f t="shared" si="1"/>
        <v>2.3809523809523809</v>
      </c>
    </row>
    <row r="11" spans="1:7" x14ac:dyDescent="0.2">
      <c r="A11" t="s">
        <v>15</v>
      </c>
      <c r="B11">
        <v>2</v>
      </c>
      <c r="C11" s="2">
        <f t="shared" si="0"/>
        <v>2.6315789473684208</v>
      </c>
      <c r="E11" t="s">
        <v>14</v>
      </c>
      <c r="F11">
        <v>1</v>
      </c>
      <c r="G11" s="2">
        <f t="shared" si="1"/>
        <v>2.3809523809523809</v>
      </c>
    </row>
    <row r="12" spans="1:7" x14ac:dyDescent="0.2">
      <c r="A12" t="s">
        <v>7</v>
      </c>
      <c r="B12">
        <v>2</v>
      </c>
      <c r="C12" s="2">
        <f t="shared" si="0"/>
        <v>2.6315789473684208</v>
      </c>
      <c r="E12" t="s">
        <v>25</v>
      </c>
      <c r="F12">
        <v>1</v>
      </c>
      <c r="G12" s="2">
        <f t="shared" si="1"/>
        <v>2.3809523809523809</v>
      </c>
    </row>
    <row r="13" spans="1:7" x14ac:dyDescent="0.2">
      <c r="A13" t="s">
        <v>9</v>
      </c>
      <c r="B13">
        <v>2</v>
      </c>
      <c r="C13" s="2">
        <f t="shared" si="0"/>
        <v>2.6315789473684208</v>
      </c>
      <c r="E13" t="s">
        <v>9</v>
      </c>
      <c r="F13">
        <v>1</v>
      </c>
      <c r="G13" s="2">
        <f t="shared" si="1"/>
        <v>2.3809523809523809</v>
      </c>
    </row>
    <row r="14" spans="1:7" x14ac:dyDescent="0.2">
      <c r="A14" t="s">
        <v>16</v>
      </c>
      <c r="B14">
        <v>2</v>
      </c>
      <c r="C14" s="2">
        <f t="shared" si="0"/>
        <v>2.6315789473684208</v>
      </c>
      <c r="E14" t="s">
        <v>21</v>
      </c>
      <c r="F14">
        <v>1</v>
      </c>
      <c r="G14" s="2">
        <f t="shared" si="1"/>
        <v>2.3809523809523809</v>
      </c>
    </row>
    <row r="15" spans="1:7" x14ac:dyDescent="0.2">
      <c r="A15" t="s">
        <v>12</v>
      </c>
      <c r="B15">
        <v>1</v>
      </c>
      <c r="C15" s="2">
        <f t="shared" si="0"/>
        <v>1.3157894736842104</v>
      </c>
    </row>
    <row r="16" spans="1:7" x14ac:dyDescent="0.2">
      <c r="A16" t="s">
        <v>25</v>
      </c>
      <c r="B16">
        <v>1</v>
      </c>
      <c r="C16" s="2">
        <f t="shared" si="0"/>
        <v>1.3157894736842104</v>
      </c>
    </row>
    <row r="17" spans="1:3" x14ac:dyDescent="0.2">
      <c r="A17" t="s">
        <v>26</v>
      </c>
      <c r="B17">
        <v>1</v>
      </c>
      <c r="C17" s="2">
        <f t="shared" si="0"/>
        <v>1.3157894736842104</v>
      </c>
    </row>
    <row r="18" spans="1:3" x14ac:dyDescent="0.2">
      <c r="A18" t="s">
        <v>10</v>
      </c>
      <c r="B18">
        <v>1</v>
      </c>
      <c r="C18" s="2">
        <f t="shared" si="0"/>
        <v>1.3157894736842104</v>
      </c>
    </row>
    <row r="19" spans="1:3" x14ac:dyDescent="0.2">
      <c r="A19" t="s">
        <v>28</v>
      </c>
      <c r="B19">
        <v>1</v>
      </c>
      <c r="C19" s="2">
        <f t="shared" si="0"/>
        <v>1.3157894736842104</v>
      </c>
    </row>
    <row r="20" spans="1:3" x14ac:dyDescent="0.2">
      <c r="A20" t="s">
        <v>21</v>
      </c>
      <c r="B20">
        <v>1</v>
      </c>
      <c r="C20" s="2">
        <f t="shared" si="0"/>
        <v>1.3157894736842104</v>
      </c>
    </row>
    <row r="21" spans="1:3" x14ac:dyDescent="0.2">
      <c r="A21" t="s">
        <v>22</v>
      </c>
      <c r="B21">
        <v>1</v>
      </c>
      <c r="C21" s="2">
        <f t="shared" si="0"/>
        <v>1.3157894736842104</v>
      </c>
    </row>
    <row r="22" spans="1:3" x14ac:dyDescent="0.2">
      <c r="C22" s="2"/>
    </row>
  </sheetData>
  <mergeCells count="2">
    <mergeCell ref="A1:C1"/>
    <mergeCell ref="E1:G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zoomScaleNormal="100" workbookViewId="0">
      <selection activeCell="E1" sqref="E1:G1"/>
    </sheetView>
  </sheetViews>
  <sheetFormatPr defaultColWidth="11.5703125" defaultRowHeight="12.75" x14ac:dyDescent="0.2"/>
  <cols>
    <col min="1" max="1" width="38.28515625" customWidth="1"/>
    <col min="2" max="2" width="6.28515625" customWidth="1"/>
    <col min="3" max="3" width="13.42578125" customWidth="1"/>
    <col min="5" max="5" width="38.28515625" customWidth="1"/>
    <col min="6" max="6" width="6.28515625" customWidth="1"/>
    <col min="7" max="7" width="13.42578125" customWidth="1"/>
  </cols>
  <sheetData>
    <row r="1" spans="1:7" ht="15.75" x14ac:dyDescent="0.25">
      <c r="A1" s="1" t="s">
        <v>2</v>
      </c>
      <c r="B1" s="1"/>
      <c r="C1" s="1"/>
      <c r="E1" s="1" t="s">
        <v>3</v>
      </c>
      <c r="F1" s="1"/>
      <c r="G1" s="1"/>
    </row>
    <row r="2" spans="1:7" x14ac:dyDescent="0.2">
      <c r="A2" t="s">
        <v>4</v>
      </c>
      <c r="B2" t="s">
        <v>0</v>
      </c>
      <c r="C2" t="s">
        <v>1</v>
      </c>
      <c r="E2" t="s">
        <v>4</v>
      </c>
      <c r="F2" t="s">
        <v>0</v>
      </c>
      <c r="G2" t="s">
        <v>1</v>
      </c>
    </row>
    <row r="3" spans="1:7" x14ac:dyDescent="0.2">
      <c r="A3" t="s">
        <v>5</v>
      </c>
      <c r="B3">
        <v>85</v>
      </c>
      <c r="C3" s="2">
        <f t="shared" ref="C3:C22" si="0">B3/SUM(B$3:B$22)*100</f>
        <v>53.459119496855344</v>
      </c>
      <c r="E3" t="s">
        <v>5</v>
      </c>
      <c r="F3">
        <v>49</v>
      </c>
      <c r="G3" s="2">
        <f t="shared" ref="G3:G23" si="1">F3/SUM(F$3:F$23)*100</f>
        <v>32.026143790849673</v>
      </c>
    </row>
    <row r="4" spans="1:7" x14ac:dyDescent="0.2">
      <c r="A4" t="s">
        <v>11</v>
      </c>
      <c r="B4">
        <v>9</v>
      </c>
      <c r="C4" s="2">
        <f t="shared" si="0"/>
        <v>5.6603773584905666</v>
      </c>
      <c r="E4" t="s">
        <v>13</v>
      </c>
      <c r="F4">
        <v>25</v>
      </c>
      <c r="G4" s="2">
        <f t="shared" si="1"/>
        <v>16.33986928104575</v>
      </c>
    </row>
    <row r="5" spans="1:7" x14ac:dyDescent="0.2">
      <c r="A5" t="s">
        <v>16</v>
      </c>
      <c r="B5">
        <v>8</v>
      </c>
      <c r="C5" s="2">
        <f t="shared" si="0"/>
        <v>5.0314465408805038</v>
      </c>
      <c r="E5" t="s">
        <v>10</v>
      </c>
      <c r="F5">
        <v>11</v>
      </c>
      <c r="G5" s="2">
        <f t="shared" si="1"/>
        <v>7.18954248366013</v>
      </c>
    </row>
    <row r="6" spans="1:7" x14ac:dyDescent="0.2">
      <c r="A6" t="s">
        <v>8</v>
      </c>
      <c r="B6">
        <v>7</v>
      </c>
      <c r="C6" s="2">
        <f t="shared" si="0"/>
        <v>4.4025157232704402</v>
      </c>
      <c r="E6" t="s">
        <v>8</v>
      </c>
      <c r="F6">
        <v>9</v>
      </c>
      <c r="G6" s="2">
        <f t="shared" si="1"/>
        <v>5.8823529411764701</v>
      </c>
    </row>
    <row r="7" spans="1:7" x14ac:dyDescent="0.2">
      <c r="A7" t="s">
        <v>14</v>
      </c>
      <c r="B7">
        <v>7</v>
      </c>
      <c r="C7" s="2">
        <f t="shared" si="0"/>
        <v>4.4025157232704402</v>
      </c>
      <c r="E7" t="s">
        <v>11</v>
      </c>
      <c r="F7">
        <v>9</v>
      </c>
      <c r="G7" s="2">
        <f t="shared" si="1"/>
        <v>5.8823529411764701</v>
      </c>
    </row>
    <row r="8" spans="1:7" x14ac:dyDescent="0.2">
      <c r="A8" t="s">
        <v>15</v>
      </c>
      <c r="B8">
        <v>7</v>
      </c>
      <c r="C8" s="2">
        <f t="shared" si="0"/>
        <v>4.4025157232704402</v>
      </c>
      <c r="E8" t="s">
        <v>15</v>
      </c>
      <c r="F8">
        <v>7</v>
      </c>
      <c r="G8" s="2">
        <f t="shared" si="1"/>
        <v>4.5751633986928102</v>
      </c>
    </row>
    <row r="9" spans="1:7" x14ac:dyDescent="0.2">
      <c r="A9" t="s">
        <v>23</v>
      </c>
      <c r="B9">
        <v>5</v>
      </c>
      <c r="C9" s="2">
        <f t="shared" si="0"/>
        <v>3.1446540880503147</v>
      </c>
      <c r="E9" t="s">
        <v>16</v>
      </c>
      <c r="F9">
        <v>6</v>
      </c>
      <c r="G9" s="2">
        <f t="shared" si="1"/>
        <v>3.9215686274509802</v>
      </c>
    </row>
    <row r="10" spans="1:7" x14ac:dyDescent="0.2">
      <c r="A10" t="s">
        <v>25</v>
      </c>
      <c r="B10">
        <v>4</v>
      </c>
      <c r="C10" s="2">
        <f t="shared" si="0"/>
        <v>2.5157232704402519</v>
      </c>
      <c r="E10" t="s">
        <v>21</v>
      </c>
      <c r="F10">
        <v>6</v>
      </c>
      <c r="G10" s="2">
        <f t="shared" si="1"/>
        <v>3.9215686274509802</v>
      </c>
    </row>
    <row r="11" spans="1:7" x14ac:dyDescent="0.2">
      <c r="A11" t="s">
        <v>21</v>
      </c>
      <c r="B11">
        <v>4</v>
      </c>
      <c r="C11" s="2">
        <f t="shared" si="0"/>
        <v>2.5157232704402519</v>
      </c>
      <c r="E11" t="s">
        <v>24</v>
      </c>
      <c r="F11">
        <v>4</v>
      </c>
      <c r="G11" s="2">
        <f t="shared" si="1"/>
        <v>2.6143790849673203</v>
      </c>
    </row>
    <row r="12" spans="1:7" x14ac:dyDescent="0.2">
      <c r="A12" t="s">
        <v>6</v>
      </c>
      <c r="B12">
        <v>3</v>
      </c>
      <c r="C12" s="2">
        <f t="shared" si="0"/>
        <v>1.8867924528301887</v>
      </c>
      <c r="E12" t="s">
        <v>7</v>
      </c>
      <c r="F12">
        <v>4</v>
      </c>
      <c r="G12" s="2">
        <f t="shared" si="1"/>
        <v>2.6143790849673203</v>
      </c>
    </row>
    <row r="13" spans="1:7" x14ac:dyDescent="0.2">
      <c r="A13" t="s">
        <v>7</v>
      </c>
      <c r="B13">
        <v>3</v>
      </c>
      <c r="C13" s="2">
        <f t="shared" si="0"/>
        <v>1.8867924528301887</v>
      </c>
      <c r="E13" t="s">
        <v>18</v>
      </c>
      <c r="F13">
        <v>4</v>
      </c>
      <c r="G13" s="2">
        <f t="shared" si="1"/>
        <v>2.6143790849673203</v>
      </c>
    </row>
    <row r="14" spans="1:7" x14ac:dyDescent="0.2">
      <c r="A14" t="s">
        <v>17</v>
      </c>
      <c r="B14">
        <v>3</v>
      </c>
      <c r="C14" s="2">
        <f t="shared" si="0"/>
        <v>1.8867924528301887</v>
      </c>
      <c r="E14" t="s">
        <v>14</v>
      </c>
      <c r="F14">
        <v>3</v>
      </c>
      <c r="G14" s="2">
        <f t="shared" si="1"/>
        <v>1.9607843137254901</v>
      </c>
    </row>
    <row r="15" spans="1:7" x14ac:dyDescent="0.2">
      <c r="A15" t="s">
        <v>27</v>
      </c>
      <c r="B15">
        <v>3</v>
      </c>
      <c r="C15" s="2">
        <f t="shared" si="0"/>
        <v>1.8867924528301887</v>
      </c>
      <c r="E15" t="s">
        <v>6</v>
      </c>
      <c r="F15">
        <v>3</v>
      </c>
      <c r="G15" s="2">
        <f t="shared" si="1"/>
        <v>1.9607843137254901</v>
      </c>
    </row>
    <row r="16" spans="1:7" x14ac:dyDescent="0.2">
      <c r="A16" t="s">
        <v>9</v>
      </c>
      <c r="B16">
        <v>2</v>
      </c>
      <c r="C16" s="2">
        <f t="shared" si="0"/>
        <v>1.257861635220126</v>
      </c>
      <c r="E16" t="s">
        <v>17</v>
      </c>
      <c r="F16">
        <v>3</v>
      </c>
      <c r="G16" s="2">
        <f t="shared" si="1"/>
        <v>1.9607843137254901</v>
      </c>
    </row>
    <row r="17" spans="1:7" x14ac:dyDescent="0.2">
      <c r="A17" t="s">
        <v>26</v>
      </c>
      <c r="B17">
        <v>2</v>
      </c>
      <c r="C17" s="2">
        <f t="shared" si="0"/>
        <v>1.257861635220126</v>
      </c>
      <c r="E17" t="s">
        <v>20</v>
      </c>
      <c r="F17">
        <v>3</v>
      </c>
      <c r="G17" s="2">
        <f t="shared" si="1"/>
        <v>1.9607843137254901</v>
      </c>
    </row>
    <row r="18" spans="1:7" x14ac:dyDescent="0.2">
      <c r="A18" t="s">
        <v>20</v>
      </c>
      <c r="B18">
        <v>2</v>
      </c>
      <c r="C18" s="2">
        <f t="shared" si="0"/>
        <v>1.257861635220126</v>
      </c>
      <c r="E18" t="s">
        <v>23</v>
      </c>
      <c r="F18">
        <v>2</v>
      </c>
      <c r="G18" s="2">
        <f t="shared" si="1"/>
        <v>1.3071895424836601</v>
      </c>
    </row>
    <row r="19" spans="1:7" x14ac:dyDescent="0.2">
      <c r="A19" t="s">
        <v>18</v>
      </c>
      <c r="B19">
        <v>2</v>
      </c>
      <c r="C19" s="2">
        <f t="shared" si="0"/>
        <v>1.257861635220126</v>
      </c>
      <c r="E19" t="s">
        <v>19</v>
      </c>
      <c r="F19">
        <v>1</v>
      </c>
      <c r="G19" s="2">
        <f t="shared" si="1"/>
        <v>0.65359477124183007</v>
      </c>
    </row>
    <row r="20" spans="1:7" x14ac:dyDescent="0.2">
      <c r="A20" t="s">
        <v>24</v>
      </c>
      <c r="B20">
        <v>1</v>
      </c>
      <c r="C20" s="2">
        <f t="shared" si="0"/>
        <v>0.62893081761006298</v>
      </c>
      <c r="E20" t="s">
        <v>25</v>
      </c>
      <c r="F20">
        <v>1</v>
      </c>
      <c r="G20" s="2">
        <f t="shared" si="1"/>
        <v>0.65359477124183007</v>
      </c>
    </row>
    <row r="21" spans="1:7" x14ac:dyDescent="0.2">
      <c r="A21" t="s">
        <v>10</v>
      </c>
      <c r="B21">
        <v>1</v>
      </c>
      <c r="C21" s="2">
        <f t="shared" si="0"/>
        <v>0.62893081761006298</v>
      </c>
      <c r="E21" t="s">
        <v>9</v>
      </c>
      <c r="F21">
        <v>1</v>
      </c>
      <c r="G21" s="2">
        <f t="shared" si="1"/>
        <v>0.65359477124183007</v>
      </c>
    </row>
    <row r="22" spans="1:7" x14ac:dyDescent="0.2">
      <c r="A22" t="s">
        <v>29</v>
      </c>
      <c r="B22">
        <v>1</v>
      </c>
      <c r="C22" s="2">
        <f t="shared" si="0"/>
        <v>0.62893081761006298</v>
      </c>
      <c r="E22" t="s">
        <v>26</v>
      </c>
      <c r="F22">
        <v>1</v>
      </c>
      <c r="G22" s="2">
        <f t="shared" si="1"/>
        <v>0.65359477124183007</v>
      </c>
    </row>
    <row r="23" spans="1:7" x14ac:dyDescent="0.2">
      <c r="E23" t="s">
        <v>22</v>
      </c>
      <c r="F23">
        <v>1</v>
      </c>
      <c r="G23" s="2">
        <f t="shared" si="1"/>
        <v>0.65359477124183007</v>
      </c>
    </row>
  </sheetData>
  <mergeCells count="2">
    <mergeCell ref="A1:C1"/>
    <mergeCell ref="E1:G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"/>
  <sheetViews>
    <sheetView zoomScaleNormal="100" workbookViewId="0">
      <selection activeCell="E1" sqref="E1:G1"/>
    </sheetView>
  </sheetViews>
  <sheetFormatPr defaultColWidth="11.5703125" defaultRowHeight="12.75" x14ac:dyDescent="0.2"/>
  <cols>
    <col min="1" max="1" width="38.28515625" customWidth="1"/>
    <col min="2" max="2" width="6.28515625" customWidth="1"/>
    <col min="3" max="3" width="13.42578125" customWidth="1"/>
    <col min="5" max="5" width="38.28515625" customWidth="1"/>
    <col min="6" max="6" width="6.28515625" customWidth="1"/>
    <col min="7" max="7" width="13.42578125" customWidth="1"/>
  </cols>
  <sheetData>
    <row r="1" spans="1:7" ht="15.75" x14ac:dyDescent="0.25">
      <c r="A1" s="1" t="s">
        <v>2</v>
      </c>
      <c r="B1" s="1"/>
      <c r="C1" s="1"/>
      <c r="E1" s="1" t="s">
        <v>3</v>
      </c>
      <c r="F1" s="1"/>
      <c r="G1" s="1"/>
    </row>
    <row r="2" spans="1:7" x14ac:dyDescent="0.2">
      <c r="A2" t="s">
        <v>4</v>
      </c>
      <c r="B2" t="s">
        <v>0</v>
      </c>
      <c r="C2" t="s">
        <v>1</v>
      </c>
      <c r="E2" t="s">
        <v>4</v>
      </c>
      <c r="F2" t="s">
        <v>0</v>
      </c>
      <c r="G2" t="s">
        <v>1</v>
      </c>
    </row>
    <row r="3" spans="1:7" x14ac:dyDescent="0.2">
      <c r="A3" t="s">
        <v>5</v>
      </c>
      <c r="B3">
        <v>23</v>
      </c>
      <c r="C3" s="2">
        <f t="shared" ref="C3:C19" si="0">B3/SUM(B$3:B$19)*100</f>
        <v>45.098039215686278</v>
      </c>
      <c r="E3" t="s">
        <v>5</v>
      </c>
      <c r="F3">
        <v>19</v>
      </c>
      <c r="G3" s="2">
        <f t="shared" ref="G3:G13" si="1">F3/SUM(F$3:F$13)*100</f>
        <v>48.717948717948715</v>
      </c>
    </row>
    <row r="4" spans="1:7" x14ac:dyDescent="0.2">
      <c r="A4" t="s">
        <v>8</v>
      </c>
      <c r="B4">
        <v>5</v>
      </c>
      <c r="C4" s="2">
        <f t="shared" si="0"/>
        <v>9.8039215686274517</v>
      </c>
      <c r="E4" t="s">
        <v>16</v>
      </c>
      <c r="F4">
        <v>3</v>
      </c>
      <c r="G4" s="2">
        <f t="shared" si="1"/>
        <v>7.6923076923076925</v>
      </c>
    </row>
    <row r="5" spans="1:7" x14ac:dyDescent="0.2">
      <c r="A5" t="s">
        <v>21</v>
      </c>
      <c r="B5">
        <v>4</v>
      </c>
      <c r="C5" s="2">
        <f t="shared" si="0"/>
        <v>7.8431372549019605</v>
      </c>
      <c r="E5" t="s">
        <v>17</v>
      </c>
      <c r="F5">
        <v>3</v>
      </c>
      <c r="G5" s="2">
        <f t="shared" si="1"/>
        <v>7.6923076923076925</v>
      </c>
    </row>
    <row r="6" spans="1:7" x14ac:dyDescent="0.2">
      <c r="A6" t="s">
        <v>16</v>
      </c>
      <c r="B6">
        <v>3</v>
      </c>
      <c r="C6" s="2">
        <f t="shared" si="0"/>
        <v>5.8823529411764701</v>
      </c>
      <c r="E6" t="s">
        <v>8</v>
      </c>
      <c r="F6">
        <v>2</v>
      </c>
      <c r="G6" s="2">
        <f t="shared" si="1"/>
        <v>5.1282051282051277</v>
      </c>
    </row>
    <row r="7" spans="1:7" x14ac:dyDescent="0.2">
      <c r="A7" t="s">
        <v>6</v>
      </c>
      <c r="B7">
        <v>2</v>
      </c>
      <c r="C7" s="2">
        <f t="shared" si="0"/>
        <v>3.9215686274509802</v>
      </c>
      <c r="E7" t="s">
        <v>11</v>
      </c>
      <c r="F7">
        <v>2</v>
      </c>
      <c r="G7" s="2">
        <f t="shared" si="1"/>
        <v>5.1282051282051277</v>
      </c>
    </row>
    <row r="8" spans="1:7" x14ac:dyDescent="0.2">
      <c r="A8" t="s">
        <v>10</v>
      </c>
      <c r="B8">
        <v>2</v>
      </c>
      <c r="C8" s="2">
        <f t="shared" si="0"/>
        <v>3.9215686274509802</v>
      </c>
      <c r="E8" t="s">
        <v>15</v>
      </c>
      <c r="F8">
        <v>2</v>
      </c>
      <c r="G8" s="2">
        <f t="shared" si="1"/>
        <v>5.1282051282051277</v>
      </c>
    </row>
    <row r="9" spans="1:7" x14ac:dyDescent="0.2">
      <c r="A9" t="s">
        <v>20</v>
      </c>
      <c r="B9">
        <v>2</v>
      </c>
      <c r="C9" s="2">
        <f t="shared" si="0"/>
        <v>3.9215686274509802</v>
      </c>
      <c r="E9" t="s">
        <v>7</v>
      </c>
      <c r="F9">
        <v>2</v>
      </c>
      <c r="G9" s="2">
        <f t="shared" si="1"/>
        <v>5.1282051282051277</v>
      </c>
    </row>
    <row r="10" spans="1:7" x14ac:dyDescent="0.2">
      <c r="A10" t="s">
        <v>23</v>
      </c>
      <c r="B10">
        <v>1</v>
      </c>
      <c r="C10" s="2">
        <f t="shared" si="0"/>
        <v>1.9607843137254901</v>
      </c>
      <c r="E10" t="s">
        <v>20</v>
      </c>
      <c r="F10">
        <v>2</v>
      </c>
      <c r="G10" s="2">
        <f t="shared" si="1"/>
        <v>5.1282051282051277</v>
      </c>
    </row>
    <row r="11" spans="1:7" x14ac:dyDescent="0.2">
      <c r="A11" t="s">
        <v>11</v>
      </c>
      <c r="B11">
        <v>1</v>
      </c>
      <c r="C11" s="2">
        <f t="shared" si="0"/>
        <v>1.9607843137254901</v>
      </c>
      <c r="E11" t="s">
        <v>21</v>
      </c>
      <c r="F11">
        <v>2</v>
      </c>
      <c r="G11" s="2">
        <f t="shared" si="1"/>
        <v>5.1282051282051277</v>
      </c>
    </row>
    <row r="12" spans="1:7" x14ac:dyDescent="0.2">
      <c r="A12" t="s">
        <v>12</v>
      </c>
      <c r="B12">
        <v>1</v>
      </c>
      <c r="C12" s="2">
        <f t="shared" si="0"/>
        <v>1.9607843137254901</v>
      </c>
      <c r="E12" t="s">
        <v>19</v>
      </c>
      <c r="F12">
        <v>1</v>
      </c>
      <c r="G12" s="2">
        <f t="shared" si="1"/>
        <v>2.5641025641025639</v>
      </c>
    </row>
    <row r="13" spans="1:7" x14ac:dyDescent="0.2">
      <c r="A13" t="s">
        <v>14</v>
      </c>
      <c r="B13">
        <v>1</v>
      </c>
      <c r="C13" s="2">
        <f t="shared" si="0"/>
        <v>1.9607843137254901</v>
      </c>
      <c r="E13" t="s">
        <v>18</v>
      </c>
      <c r="F13">
        <v>1</v>
      </c>
      <c r="G13" s="2">
        <f t="shared" si="1"/>
        <v>2.5641025641025639</v>
      </c>
    </row>
    <row r="14" spans="1:7" x14ac:dyDescent="0.2">
      <c r="A14" t="s">
        <v>19</v>
      </c>
      <c r="B14">
        <v>1</v>
      </c>
      <c r="C14" s="2">
        <f t="shared" si="0"/>
        <v>1.9607843137254901</v>
      </c>
    </row>
    <row r="15" spans="1:7" x14ac:dyDescent="0.2">
      <c r="A15" t="s">
        <v>15</v>
      </c>
      <c r="B15">
        <v>1</v>
      </c>
      <c r="C15" s="2">
        <f t="shared" si="0"/>
        <v>1.9607843137254901</v>
      </c>
    </row>
    <row r="16" spans="1:7" x14ac:dyDescent="0.2">
      <c r="A16" t="s">
        <v>7</v>
      </c>
      <c r="B16">
        <v>1</v>
      </c>
      <c r="C16" s="2">
        <f t="shared" si="0"/>
        <v>1.9607843137254901</v>
      </c>
    </row>
    <row r="17" spans="1:3" x14ac:dyDescent="0.2">
      <c r="A17" t="s">
        <v>17</v>
      </c>
      <c r="B17">
        <v>1</v>
      </c>
      <c r="C17" s="2">
        <f t="shared" si="0"/>
        <v>1.9607843137254901</v>
      </c>
    </row>
    <row r="18" spans="1:3" x14ac:dyDescent="0.2">
      <c r="A18" t="s">
        <v>27</v>
      </c>
      <c r="B18">
        <v>1</v>
      </c>
      <c r="C18" s="2">
        <f t="shared" si="0"/>
        <v>1.9607843137254901</v>
      </c>
    </row>
    <row r="19" spans="1:3" x14ac:dyDescent="0.2">
      <c r="A19" t="s">
        <v>18</v>
      </c>
      <c r="B19">
        <v>1</v>
      </c>
      <c r="C19" s="2">
        <f t="shared" si="0"/>
        <v>1.9607843137254901</v>
      </c>
    </row>
  </sheetData>
  <mergeCells count="2">
    <mergeCell ref="A1:C1"/>
    <mergeCell ref="E1:G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5"/>
  <sheetViews>
    <sheetView zoomScaleNormal="100" workbookViewId="0">
      <selection activeCell="E1" sqref="E1:G1"/>
    </sheetView>
  </sheetViews>
  <sheetFormatPr defaultColWidth="11.5703125" defaultRowHeight="12.75" x14ac:dyDescent="0.2"/>
  <cols>
    <col min="1" max="1" width="37.42578125" customWidth="1"/>
    <col min="2" max="2" width="6.28515625" customWidth="1"/>
    <col min="3" max="3" width="13.42578125" customWidth="1"/>
    <col min="5" max="5" width="38.28515625" customWidth="1"/>
    <col min="6" max="6" width="6.28515625" customWidth="1"/>
    <col min="7" max="7" width="13.42578125" customWidth="1"/>
  </cols>
  <sheetData>
    <row r="1" spans="1:7" ht="15.75" x14ac:dyDescent="0.25">
      <c r="A1" s="1" t="s">
        <v>2</v>
      </c>
      <c r="B1" s="1"/>
      <c r="C1" s="1"/>
      <c r="E1" s="1" t="s">
        <v>3</v>
      </c>
      <c r="F1" s="1"/>
      <c r="G1" s="1"/>
    </row>
    <row r="2" spans="1:7" x14ac:dyDescent="0.2">
      <c r="A2" t="s">
        <v>4</v>
      </c>
      <c r="B2" t="s">
        <v>0</v>
      </c>
      <c r="C2" t="s">
        <v>1</v>
      </c>
      <c r="E2" t="s">
        <v>4</v>
      </c>
      <c r="F2" t="s">
        <v>0</v>
      </c>
      <c r="G2" t="s">
        <v>1</v>
      </c>
    </row>
    <row r="3" spans="1:7" x14ac:dyDescent="0.2">
      <c r="A3" t="s">
        <v>5</v>
      </c>
      <c r="B3">
        <v>24</v>
      </c>
      <c r="C3" s="2">
        <f t="shared" ref="C3:C10" si="0">B3/SUM(B$3:B$10)*100</f>
        <v>70.588235294117652</v>
      </c>
      <c r="E3" t="s">
        <v>5</v>
      </c>
      <c r="F3">
        <v>67</v>
      </c>
      <c r="G3" s="2">
        <f t="shared" ref="G3:G25" si="1">F3/SUM(F$3:F$25)*100</f>
        <v>38.06818181818182</v>
      </c>
    </row>
    <row r="4" spans="1:7" x14ac:dyDescent="0.2">
      <c r="A4" t="s">
        <v>8</v>
      </c>
      <c r="B4">
        <v>3</v>
      </c>
      <c r="C4" s="2">
        <f t="shared" si="0"/>
        <v>8.8235294117647065</v>
      </c>
      <c r="E4" t="s">
        <v>13</v>
      </c>
      <c r="F4">
        <v>25</v>
      </c>
      <c r="G4" s="2">
        <f t="shared" si="1"/>
        <v>14.204545454545455</v>
      </c>
    </row>
    <row r="5" spans="1:7" x14ac:dyDescent="0.2">
      <c r="A5" t="s">
        <v>16</v>
      </c>
      <c r="B5">
        <v>2</v>
      </c>
      <c r="C5" s="2">
        <f t="shared" si="0"/>
        <v>5.8823529411764701</v>
      </c>
      <c r="E5" t="s">
        <v>7</v>
      </c>
      <c r="F5">
        <v>15</v>
      </c>
      <c r="G5" s="2">
        <f t="shared" si="1"/>
        <v>8.5227272727272716</v>
      </c>
    </row>
    <row r="6" spans="1:7" x14ac:dyDescent="0.2">
      <c r="A6" t="s">
        <v>23</v>
      </c>
      <c r="B6">
        <v>1</v>
      </c>
      <c r="C6" s="2">
        <f t="shared" si="0"/>
        <v>2.9411764705882351</v>
      </c>
      <c r="E6" t="s">
        <v>10</v>
      </c>
      <c r="F6">
        <v>10</v>
      </c>
      <c r="G6" s="2">
        <f t="shared" si="1"/>
        <v>5.6818181818181817</v>
      </c>
    </row>
    <row r="7" spans="1:7" x14ac:dyDescent="0.2">
      <c r="A7" t="s">
        <v>14</v>
      </c>
      <c r="B7">
        <v>1</v>
      </c>
      <c r="C7" s="2">
        <f t="shared" si="0"/>
        <v>2.9411764705882351</v>
      </c>
      <c r="E7" t="s">
        <v>8</v>
      </c>
      <c r="F7">
        <v>9</v>
      </c>
      <c r="G7" s="2">
        <f t="shared" si="1"/>
        <v>5.1136363636363642</v>
      </c>
    </row>
    <row r="8" spans="1:7" x14ac:dyDescent="0.2">
      <c r="A8" t="s">
        <v>7</v>
      </c>
      <c r="B8">
        <v>1</v>
      </c>
      <c r="C8" s="2">
        <f t="shared" si="0"/>
        <v>2.9411764705882351</v>
      </c>
      <c r="E8" t="s">
        <v>24</v>
      </c>
      <c r="F8">
        <v>8</v>
      </c>
      <c r="G8" s="2">
        <f t="shared" si="1"/>
        <v>4.5454545454545459</v>
      </c>
    </row>
    <row r="9" spans="1:7" x14ac:dyDescent="0.2">
      <c r="A9" t="s">
        <v>20</v>
      </c>
      <c r="B9">
        <v>1</v>
      </c>
      <c r="C9" s="2">
        <f t="shared" si="0"/>
        <v>2.9411764705882351</v>
      </c>
      <c r="E9" t="s">
        <v>14</v>
      </c>
      <c r="F9">
        <v>7</v>
      </c>
      <c r="G9" s="2">
        <f t="shared" si="1"/>
        <v>3.9772727272727271</v>
      </c>
    </row>
    <row r="10" spans="1:7" x14ac:dyDescent="0.2">
      <c r="A10" t="s">
        <v>21</v>
      </c>
      <c r="B10">
        <v>1</v>
      </c>
      <c r="C10" s="2">
        <f t="shared" si="0"/>
        <v>2.9411764705882351</v>
      </c>
      <c r="E10" t="s">
        <v>25</v>
      </c>
      <c r="F10">
        <v>5</v>
      </c>
      <c r="G10" s="2">
        <f t="shared" si="1"/>
        <v>2.8409090909090908</v>
      </c>
    </row>
    <row r="11" spans="1:7" x14ac:dyDescent="0.2">
      <c r="E11" t="s">
        <v>23</v>
      </c>
      <c r="F11">
        <v>4</v>
      </c>
      <c r="G11" s="2">
        <f t="shared" si="1"/>
        <v>2.2727272727272729</v>
      </c>
    </row>
    <row r="12" spans="1:7" x14ac:dyDescent="0.2">
      <c r="E12" t="s">
        <v>17</v>
      </c>
      <c r="F12">
        <v>4</v>
      </c>
      <c r="G12" s="2">
        <f t="shared" si="1"/>
        <v>2.2727272727272729</v>
      </c>
    </row>
    <row r="13" spans="1:7" x14ac:dyDescent="0.2">
      <c r="E13" t="s">
        <v>18</v>
      </c>
      <c r="F13">
        <v>4</v>
      </c>
      <c r="G13" s="2">
        <f t="shared" si="1"/>
        <v>2.2727272727272729</v>
      </c>
    </row>
    <row r="14" spans="1:7" x14ac:dyDescent="0.2">
      <c r="E14" t="s">
        <v>16</v>
      </c>
      <c r="F14">
        <v>3</v>
      </c>
      <c r="G14" s="2">
        <f t="shared" si="1"/>
        <v>1.7045454545454544</v>
      </c>
    </row>
    <row r="15" spans="1:7" x14ac:dyDescent="0.2">
      <c r="E15" t="s">
        <v>12</v>
      </c>
      <c r="F15">
        <v>2</v>
      </c>
      <c r="G15" s="2">
        <f t="shared" si="1"/>
        <v>1.1363636363636365</v>
      </c>
    </row>
    <row r="16" spans="1:7" x14ac:dyDescent="0.2">
      <c r="E16" t="s">
        <v>15</v>
      </c>
      <c r="F16">
        <v>2</v>
      </c>
      <c r="G16" s="2">
        <f t="shared" si="1"/>
        <v>1.1363636363636365</v>
      </c>
    </row>
    <row r="17" spans="5:7" x14ac:dyDescent="0.2">
      <c r="E17" t="s">
        <v>26</v>
      </c>
      <c r="F17">
        <v>2</v>
      </c>
      <c r="G17" s="2">
        <f t="shared" si="1"/>
        <v>1.1363636363636365</v>
      </c>
    </row>
    <row r="18" spans="5:7" x14ac:dyDescent="0.2">
      <c r="E18" t="s">
        <v>21</v>
      </c>
      <c r="F18">
        <v>2</v>
      </c>
      <c r="G18" s="2">
        <f t="shared" si="1"/>
        <v>1.1363636363636365</v>
      </c>
    </row>
    <row r="19" spans="5:7" x14ac:dyDescent="0.2">
      <c r="E19" t="s">
        <v>11</v>
      </c>
      <c r="F19">
        <v>1</v>
      </c>
      <c r="G19" s="2">
        <f t="shared" si="1"/>
        <v>0.56818181818181823</v>
      </c>
    </row>
    <row r="20" spans="5:7" x14ac:dyDescent="0.2">
      <c r="E20" t="s">
        <v>19</v>
      </c>
      <c r="F20">
        <v>1</v>
      </c>
      <c r="G20" s="2">
        <f t="shared" si="1"/>
        <v>0.56818181818181823</v>
      </c>
    </row>
    <row r="21" spans="5:7" x14ac:dyDescent="0.2">
      <c r="E21" t="s">
        <v>6</v>
      </c>
      <c r="F21">
        <v>1</v>
      </c>
      <c r="G21" s="2">
        <f t="shared" si="1"/>
        <v>0.56818181818181823</v>
      </c>
    </row>
    <row r="22" spans="5:7" x14ac:dyDescent="0.2">
      <c r="E22" t="s">
        <v>27</v>
      </c>
      <c r="F22">
        <v>1</v>
      </c>
      <c r="G22" s="2">
        <f t="shared" si="1"/>
        <v>0.56818181818181823</v>
      </c>
    </row>
    <row r="23" spans="5:7" x14ac:dyDescent="0.2">
      <c r="E23" t="s">
        <v>20</v>
      </c>
      <c r="F23">
        <v>1</v>
      </c>
      <c r="G23" s="2">
        <f t="shared" si="1"/>
        <v>0.56818181818181823</v>
      </c>
    </row>
    <row r="24" spans="5:7" x14ac:dyDescent="0.2">
      <c r="E24" t="s">
        <v>28</v>
      </c>
      <c r="F24">
        <v>1</v>
      </c>
      <c r="G24" s="2">
        <f t="shared" si="1"/>
        <v>0.56818181818181823</v>
      </c>
    </row>
    <row r="25" spans="5:7" x14ac:dyDescent="0.2">
      <c r="E25" t="s">
        <v>22</v>
      </c>
      <c r="F25">
        <v>1</v>
      </c>
      <c r="G25" s="2">
        <f t="shared" si="1"/>
        <v>0.56818181818181823</v>
      </c>
    </row>
  </sheetData>
  <mergeCells count="2">
    <mergeCell ref="A1:C1"/>
    <mergeCell ref="E1:G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7"/>
  <sheetViews>
    <sheetView zoomScaleNormal="100" workbookViewId="0">
      <selection activeCell="E1" sqref="E1:G1"/>
    </sheetView>
  </sheetViews>
  <sheetFormatPr defaultColWidth="11.5703125" defaultRowHeight="12.75" x14ac:dyDescent="0.2"/>
  <cols>
    <col min="1" max="1" width="36.5703125" customWidth="1"/>
    <col min="2" max="2" width="6.28515625" customWidth="1"/>
    <col min="3" max="3" width="13.42578125" customWidth="1"/>
    <col min="5" max="5" width="31.28515625" customWidth="1"/>
    <col min="6" max="6" width="6.28515625" customWidth="1"/>
    <col min="7" max="7" width="13.42578125" customWidth="1"/>
  </cols>
  <sheetData>
    <row r="1" spans="1:7" ht="15.75" x14ac:dyDescent="0.25">
      <c r="A1" s="1" t="s">
        <v>2</v>
      </c>
      <c r="B1" s="1"/>
      <c r="C1" s="1"/>
      <c r="E1" s="1" t="s">
        <v>3</v>
      </c>
      <c r="F1" s="1"/>
      <c r="G1" s="1"/>
    </row>
    <row r="2" spans="1:7" x14ac:dyDescent="0.2">
      <c r="A2" t="s">
        <v>4</v>
      </c>
      <c r="B2" t="s">
        <v>0</v>
      </c>
      <c r="C2" t="s">
        <v>1</v>
      </c>
      <c r="E2" t="s">
        <v>4</v>
      </c>
      <c r="F2" t="s">
        <v>0</v>
      </c>
      <c r="G2" t="s">
        <v>1</v>
      </c>
    </row>
    <row r="3" spans="1:7" x14ac:dyDescent="0.2">
      <c r="A3" t="s">
        <v>5</v>
      </c>
      <c r="B3">
        <v>24</v>
      </c>
      <c r="C3" s="2">
        <f t="shared" ref="C3:C17" si="0">B3/SUM(B$3:B$17)*100</f>
        <v>36.363636363636367</v>
      </c>
      <c r="E3" t="s">
        <v>5</v>
      </c>
      <c r="F3">
        <v>4</v>
      </c>
      <c r="G3" s="2">
        <f>F3/SUM(F$3:F$7)*100</f>
        <v>50</v>
      </c>
    </row>
    <row r="4" spans="1:7" x14ac:dyDescent="0.2">
      <c r="A4" t="s">
        <v>8</v>
      </c>
      <c r="B4">
        <v>10</v>
      </c>
      <c r="C4" s="2">
        <f t="shared" si="0"/>
        <v>15.151515151515152</v>
      </c>
      <c r="E4" t="s">
        <v>12</v>
      </c>
      <c r="F4">
        <v>1</v>
      </c>
      <c r="G4" s="2">
        <f>F4/SUM(F$3:F$7)*100</f>
        <v>12.5</v>
      </c>
    </row>
    <row r="5" spans="1:7" x14ac:dyDescent="0.2">
      <c r="A5" t="s">
        <v>11</v>
      </c>
      <c r="B5">
        <v>7</v>
      </c>
      <c r="C5" s="2">
        <f t="shared" si="0"/>
        <v>10.606060606060606</v>
      </c>
      <c r="E5" t="s">
        <v>15</v>
      </c>
      <c r="F5">
        <v>1</v>
      </c>
      <c r="G5" s="2">
        <f>F5/SUM(F$3:F$7)*100</f>
        <v>12.5</v>
      </c>
    </row>
    <row r="6" spans="1:7" x14ac:dyDescent="0.2">
      <c r="A6" t="s">
        <v>9</v>
      </c>
      <c r="B6">
        <v>4</v>
      </c>
      <c r="C6" s="2">
        <f t="shared" si="0"/>
        <v>6.0606060606060606</v>
      </c>
      <c r="E6" t="s">
        <v>25</v>
      </c>
      <c r="F6">
        <v>1</v>
      </c>
      <c r="G6" s="2">
        <f>F6/SUM(F$3:F$7)*100</f>
        <v>12.5</v>
      </c>
    </row>
    <row r="7" spans="1:7" x14ac:dyDescent="0.2">
      <c r="A7" t="s">
        <v>10</v>
      </c>
      <c r="B7">
        <v>4</v>
      </c>
      <c r="C7" s="2">
        <f t="shared" si="0"/>
        <v>6.0606060606060606</v>
      </c>
      <c r="E7" t="s">
        <v>17</v>
      </c>
      <c r="F7">
        <v>1</v>
      </c>
      <c r="G7" s="2">
        <f>F7/SUM(F$3:F$7)*100</f>
        <v>12.5</v>
      </c>
    </row>
    <row r="8" spans="1:7" x14ac:dyDescent="0.2">
      <c r="A8" t="s">
        <v>7</v>
      </c>
      <c r="B8">
        <v>3</v>
      </c>
      <c r="C8" s="2">
        <f t="shared" si="0"/>
        <v>4.5454545454545459</v>
      </c>
    </row>
    <row r="9" spans="1:7" x14ac:dyDescent="0.2">
      <c r="A9" t="s">
        <v>22</v>
      </c>
      <c r="B9">
        <v>3</v>
      </c>
      <c r="C9" s="2">
        <f t="shared" si="0"/>
        <v>4.5454545454545459</v>
      </c>
    </row>
    <row r="10" spans="1:7" x14ac:dyDescent="0.2">
      <c r="A10" t="s">
        <v>14</v>
      </c>
      <c r="B10">
        <v>2</v>
      </c>
      <c r="C10" s="2">
        <f t="shared" si="0"/>
        <v>3.0303030303030303</v>
      </c>
    </row>
    <row r="11" spans="1:7" x14ac:dyDescent="0.2">
      <c r="A11" t="s">
        <v>25</v>
      </c>
      <c r="B11">
        <v>2</v>
      </c>
      <c r="C11" s="2">
        <f t="shared" si="0"/>
        <v>3.0303030303030303</v>
      </c>
    </row>
    <row r="12" spans="1:7" x14ac:dyDescent="0.2">
      <c r="A12" t="s">
        <v>21</v>
      </c>
      <c r="B12">
        <v>2</v>
      </c>
      <c r="C12" s="2">
        <f t="shared" si="0"/>
        <v>3.0303030303030303</v>
      </c>
    </row>
    <row r="13" spans="1:7" x14ac:dyDescent="0.2">
      <c r="A13" t="s">
        <v>12</v>
      </c>
      <c r="B13">
        <v>1</v>
      </c>
      <c r="C13" s="2">
        <f t="shared" si="0"/>
        <v>1.5151515151515151</v>
      </c>
    </row>
    <row r="14" spans="1:7" x14ac:dyDescent="0.2">
      <c r="A14" t="s">
        <v>15</v>
      </c>
      <c r="B14">
        <v>1</v>
      </c>
      <c r="C14" s="2">
        <f t="shared" si="0"/>
        <v>1.5151515151515151</v>
      </c>
    </row>
    <row r="15" spans="1:7" x14ac:dyDescent="0.2">
      <c r="A15" t="s">
        <v>16</v>
      </c>
      <c r="B15">
        <v>1</v>
      </c>
      <c r="C15" s="2">
        <f t="shared" si="0"/>
        <v>1.5151515151515151</v>
      </c>
    </row>
    <row r="16" spans="1:7" x14ac:dyDescent="0.2">
      <c r="A16" t="s">
        <v>17</v>
      </c>
      <c r="B16">
        <v>1</v>
      </c>
      <c r="C16" s="2">
        <f t="shared" si="0"/>
        <v>1.5151515151515151</v>
      </c>
    </row>
    <row r="17" spans="1:3" x14ac:dyDescent="0.2">
      <c r="A17" t="s">
        <v>27</v>
      </c>
      <c r="B17">
        <v>1</v>
      </c>
      <c r="C17" s="2">
        <f t="shared" si="0"/>
        <v>1.5151515151515151</v>
      </c>
    </row>
  </sheetData>
  <mergeCells count="2">
    <mergeCell ref="A1:C1"/>
    <mergeCell ref="E1:G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G1:M12"/>
  <sheetViews>
    <sheetView topLeftCell="G1" zoomScaleNormal="100" workbookViewId="0">
      <selection activeCell="N36" sqref="N36"/>
    </sheetView>
  </sheetViews>
  <sheetFormatPr defaultColWidth="11.5703125" defaultRowHeight="12.75" x14ac:dyDescent="0.2"/>
  <cols>
    <col min="7" max="7" width="38.28515625" customWidth="1"/>
    <col min="8" max="8" width="6.28515625" customWidth="1"/>
    <col min="9" max="9" width="13.42578125" customWidth="1"/>
    <col min="11" max="11" width="38.28515625" customWidth="1"/>
    <col min="12" max="12" width="6.28515625" customWidth="1"/>
    <col min="13" max="13" width="13.42578125" customWidth="1"/>
  </cols>
  <sheetData>
    <row r="1" spans="7:13" ht="15.75" x14ac:dyDescent="0.25">
      <c r="G1" s="1" t="s">
        <v>2</v>
      </c>
      <c r="H1" s="1"/>
      <c r="I1" s="1"/>
      <c r="K1" s="1" t="s">
        <v>3</v>
      </c>
      <c r="L1" s="1"/>
      <c r="M1" s="1"/>
    </row>
    <row r="2" spans="7:13" x14ac:dyDescent="0.2">
      <c r="G2" t="s">
        <v>4</v>
      </c>
      <c r="H2" t="s">
        <v>0</v>
      </c>
      <c r="I2" t="s">
        <v>1</v>
      </c>
      <c r="K2" t="s">
        <v>4</v>
      </c>
      <c r="L2" t="s">
        <v>0</v>
      </c>
      <c r="M2" t="s">
        <v>1</v>
      </c>
    </row>
    <row r="3" spans="7:13" x14ac:dyDescent="0.2">
      <c r="G3" t="s">
        <v>5</v>
      </c>
      <c r="H3">
        <v>12</v>
      </c>
      <c r="I3" s="2">
        <f t="shared" ref="I3:I10" si="0">H3/SUM(H$3:H$10)*100</f>
        <v>57.142857142857139</v>
      </c>
      <c r="K3" t="s">
        <v>5</v>
      </c>
      <c r="L3">
        <v>14</v>
      </c>
      <c r="M3" s="2">
        <f t="shared" ref="M3:M12" si="1">L3/SUM(L$3:L$12)*100</f>
        <v>48.275862068965516</v>
      </c>
    </row>
    <row r="4" spans="7:13" x14ac:dyDescent="0.2">
      <c r="G4" t="s">
        <v>16</v>
      </c>
      <c r="H4">
        <v>2</v>
      </c>
      <c r="I4" s="2">
        <f t="shared" si="0"/>
        <v>9.5238095238095237</v>
      </c>
      <c r="K4" t="s">
        <v>17</v>
      </c>
      <c r="L4">
        <v>3</v>
      </c>
      <c r="M4" s="2">
        <f t="shared" si="1"/>
        <v>10.344827586206897</v>
      </c>
    </row>
    <row r="5" spans="7:13" x14ac:dyDescent="0.2">
      <c r="G5" t="s">
        <v>21</v>
      </c>
      <c r="H5">
        <v>2</v>
      </c>
      <c r="I5" s="2">
        <f t="shared" si="0"/>
        <v>9.5238095238095237</v>
      </c>
      <c r="K5" t="s">
        <v>18</v>
      </c>
      <c r="L5">
        <v>3</v>
      </c>
      <c r="M5" s="2">
        <f t="shared" si="1"/>
        <v>10.344827586206897</v>
      </c>
    </row>
    <row r="6" spans="7:13" x14ac:dyDescent="0.2">
      <c r="G6" t="s">
        <v>14</v>
      </c>
      <c r="H6">
        <v>1</v>
      </c>
      <c r="I6" s="2">
        <f t="shared" si="0"/>
        <v>4.7619047619047619</v>
      </c>
      <c r="K6" t="s">
        <v>16</v>
      </c>
      <c r="L6">
        <v>2</v>
      </c>
      <c r="M6" s="2">
        <f t="shared" si="1"/>
        <v>6.8965517241379306</v>
      </c>
    </row>
    <row r="7" spans="7:13" x14ac:dyDescent="0.2">
      <c r="G7" t="s">
        <v>7</v>
      </c>
      <c r="H7">
        <v>1</v>
      </c>
      <c r="I7" s="2">
        <f t="shared" si="0"/>
        <v>4.7619047619047619</v>
      </c>
      <c r="K7" t="s">
        <v>21</v>
      </c>
      <c r="L7">
        <v>2</v>
      </c>
      <c r="M7" s="2">
        <f t="shared" si="1"/>
        <v>6.8965517241379306</v>
      </c>
    </row>
    <row r="8" spans="7:13" x14ac:dyDescent="0.2">
      <c r="G8" t="s">
        <v>17</v>
      </c>
      <c r="H8">
        <v>1</v>
      </c>
      <c r="I8" s="2">
        <f t="shared" si="0"/>
        <v>4.7619047619047619</v>
      </c>
      <c r="K8" t="s">
        <v>8</v>
      </c>
      <c r="L8">
        <v>1</v>
      </c>
      <c r="M8" s="2">
        <f t="shared" si="1"/>
        <v>3.4482758620689653</v>
      </c>
    </row>
    <row r="9" spans="7:13" x14ac:dyDescent="0.2">
      <c r="G9" t="s">
        <v>27</v>
      </c>
      <c r="H9">
        <v>1</v>
      </c>
      <c r="I9" s="2">
        <f t="shared" si="0"/>
        <v>4.7619047619047619</v>
      </c>
      <c r="K9" t="s">
        <v>14</v>
      </c>
      <c r="L9">
        <v>1</v>
      </c>
      <c r="M9" s="2">
        <f t="shared" si="1"/>
        <v>3.4482758620689653</v>
      </c>
    </row>
    <row r="10" spans="7:13" x14ac:dyDescent="0.2">
      <c r="G10" t="s">
        <v>18</v>
      </c>
      <c r="H10">
        <v>1</v>
      </c>
      <c r="I10" s="2">
        <f t="shared" si="0"/>
        <v>4.7619047619047619</v>
      </c>
      <c r="K10" t="s">
        <v>15</v>
      </c>
      <c r="L10">
        <v>1</v>
      </c>
      <c r="M10" s="2">
        <f t="shared" si="1"/>
        <v>3.4482758620689653</v>
      </c>
    </row>
    <row r="11" spans="7:13" x14ac:dyDescent="0.2">
      <c r="K11" t="s">
        <v>7</v>
      </c>
      <c r="L11">
        <v>1</v>
      </c>
      <c r="M11" s="2">
        <f t="shared" si="1"/>
        <v>3.4482758620689653</v>
      </c>
    </row>
    <row r="12" spans="7:13" x14ac:dyDescent="0.2">
      <c r="K12" t="s">
        <v>27</v>
      </c>
      <c r="L12">
        <v>1</v>
      </c>
      <c r="M12" s="2">
        <f t="shared" si="1"/>
        <v>3.4482758620689653</v>
      </c>
    </row>
  </sheetData>
  <mergeCells count="2">
    <mergeCell ref="G1:I1"/>
    <mergeCell ref="K1:M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Clostridiales</vt:lpstr>
      <vt:lpstr>Clostridium sensu stricto</vt:lpstr>
      <vt:lpstr>Lachnospirales</vt:lpstr>
      <vt:lpstr>Clostridium_XIVa</vt:lpstr>
      <vt:lpstr>Oscillospirales</vt:lpstr>
      <vt:lpstr>Oscillospirales_direct_ancestor</vt:lpstr>
      <vt:lpstr>Peptostreptococcales</vt:lpstr>
      <vt:lpstr>Peptostreptococcales_ancestor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De Vrieze</dc:creator>
  <dc:description/>
  <cp:lastModifiedBy>Lucas De Vrieze</cp:lastModifiedBy>
  <cp:revision>13</cp:revision>
  <dcterms:created xsi:type="dcterms:W3CDTF">2025-07-17T10:02:48Z</dcterms:created>
  <dcterms:modified xsi:type="dcterms:W3CDTF">2025-10-29T13:21:16Z</dcterms:modified>
  <dc:language>en-US</dc:language>
</cp:coreProperties>
</file>